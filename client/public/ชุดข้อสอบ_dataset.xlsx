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ชุดข้อสอบ_dataset" sheetId="1" state="visible" r:id="rId1"/>
    <sheet xmlns:r="http://schemas.openxmlformats.org/officeDocument/2006/relationships" name="สรุปผลการประเมิน_Benchmark" sheetId="2" state="visible" r:id="rId2"/>
    <sheet xmlns:r="http://schemas.openxmlformats.org/officeDocument/2006/relationships" name="Template_Example" sheetId="3" state="visible" r:id="rId3"/>
    <sheet xmlns:r="http://schemas.openxmlformats.org/officeDocument/2006/relationships" name="Exam_Rubrics" sheetId="4" state="visible" r:id="rId4"/>
  </sheets>
  <definedNames/>
</workbook>
</file>

<file path=xl/styles.xml><?xml version="1.0" encoding="utf-8"?>
<styleSheet xmlns="http://schemas.openxmlformats.org/spreadsheetml/2006/main">
  <numFmts count="0"/>
  <fonts count="12">
    <font>
      <name val="Calibri"/>
      <color theme="1"/>
      <sz val="11"/>
    </font>
    <font>
      <name val="Aptos"/>
      <b val="1"/>
      <color rgb="FFFFFFFF"/>
      <sz val="11"/>
    </font>
    <font>
      <name val="Aptos"/>
      <color rgb="FFFFFFFF"/>
      <sz val="10"/>
    </font>
    <font>
      <name val="Aptos"/>
      <sz val="10"/>
    </font>
    <font>
      <name val="Aptos"/>
      <color rgb="FF0563C1"/>
      <sz val="10"/>
    </font>
    <font>
      <name val="Aptos"/>
      <b val="1"/>
      <color rgb="FF1F497D"/>
      <sz val="14"/>
    </font>
    <font>
      <name val="Aptos"/>
      <i val="1"/>
      <color rgb="FF595959"/>
      <sz val="10"/>
    </font>
    <font>
      <name val="Segoe UI"/>
      <b val="1"/>
      <color rgb="001E293B"/>
      <sz val="14"/>
    </font>
    <font>
      <name val="Segoe UI"/>
      <color rgb="0064748B"/>
      <sz val="10"/>
    </font>
    <font>
      <name val="Segoe UI"/>
      <b val="1"/>
      <color rgb="00FFFFFF"/>
      <sz val="10"/>
    </font>
    <font>
      <name val="Segoe UI"/>
      <color rgb="000F172A"/>
      <sz val="10"/>
    </font>
    <font>
      <name val="Segoe UI"/>
      <b val="1"/>
      <color rgb="000F172A"/>
      <sz val="10"/>
    </font>
  </fonts>
  <fills count="7">
    <fill>
      <patternFill/>
    </fill>
    <fill>
      <patternFill patternType="gray125"/>
    </fill>
    <fill>
      <patternFill patternType="solid">
        <fgColor rgb="FF2C4967"/>
      </patternFill>
    </fill>
    <fill>
      <patternFill patternType="solid">
        <fgColor rgb="FF1F497D"/>
      </patternFill>
    </fill>
    <fill>
      <patternFill patternType="solid">
        <fgColor rgb="FFF2F5F9"/>
      </patternFill>
    </fill>
    <fill>
      <patternFill patternType="solid">
        <fgColor rgb="001E3A8A"/>
        <bgColor rgb="001E3A8A"/>
      </patternFill>
    </fill>
    <fill>
      <patternFill patternType="solid">
        <fgColor rgb="00F1F5F9"/>
        <bgColor rgb="00F1F5F9"/>
      </patternFill>
    </fill>
  </fills>
  <borders count="5">
    <border/>
    <border>
      <left style="thin">
        <color rgb="FFBFBFBF"/>
      </left>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
      <left style="thin">
        <color rgb="00CBD5E1"/>
      </left>
      <right style="thin">
        <color rgb="00CBD5E1"/>
      </right>
      <top style="thin">
        <color rgb="00CBD5E1"/>
      </top>
      <bottom style="thin">
        <color rgb="00CBD5E1"/>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0" borderId="1" applyAlignment="1" pivotButton="0" quotePrefix="0" xfId="0">
      <alignment horizontal="center" vertical="top"/>
    </xf>
    <xf numFmtId="0" fontId="5" fillId="0" borderId="0" pivotButton="0" quotePrefix="0" xfId="0"/>
    <xf numFmtId="0" fontId="6" fillId="0" borderId="0" pivotButton="0" quotePrefix="0" xfId="0"/>
    <xf numFmtId="0" fontId="1" fillId="3" borderId="2" applyAlignment="1" pivotButton="0" quotePrefix="0" xfId="0">
      <alignment horizontal="center" vertical="center"/>
    </xf>
    <xf numFmtId="0" fontId="3" fillId="4" borderId="2" applyAlignment="1" pivotButton="0" quotePrefix="0" xfId="0">
      <alignment horizontal="center" vertical="top"/>
    </xf>
    <xf numFmtId="0" fontId="3" fillId="4" borderId="2" applyAlignment="1" pivotButton="0" quotePrefix="0" xfId="0">
      <alignment horizontal="left" vertical="top"/>
    </xf>
    <xf numFmtId="0" fontId="3" fillId="4" borderId="2" applyAlignment="1" pivotButton="0" quotePrefix="0" xfId="0">
      <alignment horizontal="left" vertical="top" wrapText="1"/>
    </xf>
    <xf numFmtId="0" fontId="3" fillId="0" borderId="2" applyAlignment="1" pivotButton="0" quotePrefix="0" xfId="0">
      <alignment horizontal="center" vertical="top"/>
    </xf>
    <xf numFmtId="0" fontId="3" fillId="0" borderId="2" applyAlignment="1" pivotButton="0" quotePrefix="0" xfId="0">
      <alignment horizontal="left" vertical="top"/>
    </xf>
    <xf numFmtId="0" fontId="3" fillId="0" borderId="2" applyAlignment="1" pivotButton="0" quotePrefix="0" xfId="0">
      <alignment horizontal="left" vertical="top" wrapText="1"/>
    </xf>
    <xf numFmtId="0" fontId="3" fillId="0" borderId="3" applyAlignment="1" pivotButton="0" quotePrefix="0" xfId="0">
      <alignment horizontal="center" vertical="top"/>
    </xf>
    <xf numFmtId="0" fontId="3" fillId="0" borderId="3" applyAlignment="1" pivotButton="0" quotePrefix="0" xfId="0">
      <alignment horizontal="left" vertical="top" wrapText="1"/>
    </xf>
    <xf numFmtId="0" fontId="7" fillId="0" borderId="0" pivotButton="0" quotePrefix="0" xfId="0"/>
    <xf numFmtId="0" fontId="8" fillId="0" borderId="0" pivotButton="0" quotePrefix="0" xfId="0"/>
    <xf numFmtId="0" fontId="9" fillId="5" borderId="4" applyAlignment="1" pivotButton="0" quotePrefix="0" xfId="0">
      <alignment horizontal="center" vertical="center" wrapText="1"/>
    </xf>
    <xf numFmtId="0" fontId="10" fillId="0" borderId="4" applyAlignment="1" pivotButton="0" quotePrefix="0" xfId="0">
      <alignment horizontal="center" vertical="center"/>
    </xf>
    <xf numFmtId="0" fontId="10" fillId="0" borderId="4" applyAlignment="1" pivotButton="0" quotePrefix="0" xfId="0">
      <alignment horizontal="left" vertical="center"/>
    </xf>
    <xf numFmtId="0" fontId="11" fillId="6" borderId="4" applyAlignment="1" pivotButton="0" quotePrefix="0" xfId="0">
      <alignment horizontal="center" vertical="center"/>
    </xf>
    <xf numFmtId="0" fontId="11" fillId="6" borderId="4" applyAlignment="1" pivotButton="0" quotePrefix="0" xfId="0">
      <alignment horizontal="lef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J209"/>
  <sheetViews>
    <sheetView showGridLines="1" workbookViewId="0">
      <selection activeCell="A1" sqref="A1"/>
    </sheetView>
  </sheetViews>
  <sheetFormatPr baseColWidth="8" defaultRowHeight="15"/>
  <cols>
    <col width="14" customWidth="1" min="1" max="1"/>
    <col width="12" customWidth="1" min="2" max="2"/>
    <col width="16" customWidth="1" min="3" max="3"/>
    <col width="55" customWidth="1" min="4" max="4"/>
    <col width="16" customWidth="1" min="5" max="5"/>
    <col width="70" customWidth="1" min="6" max="6"/>
    <col width="16" customWidth="1" min="7" max="7"/>
    <col width="14" customWidth="1" min="8" max="8"/>
    <col width="16" customWidth="1" min="9" max="9"/>
    <col width="85" customWidth="1" min="10" max="10"/>
  </cols>
  <sheetData>
    <row r="1"/>
    <row r="2"/>
    <row r="3"/>
    <row r="4" ht="30" customHeight="1">
      <c r="A4" s="1" t="inlineStr">
        <is>
          <t>sample_id</t>
        </is>
      </c>
      <c r="B4" s="1" t="inlineStr">
        <is>
          <t>question_no</t>
        </is>
      </c>
      <c r="C4" s="1" t="inlineStr">
        <is>
          <t>question_type</t>
        </is>
      </c>
      <c r="D4" s="1" t="inlineStr">
        <is>
          <t>question_content</t>
        </is>
      </c>
      <c r="E4" s="1" t="inlineStr">
        <is>
          <t>answer_type</t>
        </is>
      </c>
      <c r="F4" s="1" t="inlineStr">
        <is>
          <t>student_answer</t>
        </is>
      </c>
      <c r="G4" s="1" t="inlineStr">
        <is>
          <t>human_score</t>
        </is>
      </c>
      <c r="H4" s="1" t="inlineStr">
        <is>
          <t>ai_score</t>
        </is>
      </c>
      <c r="I4" s="1" t="inlineStr">
        <is>
          <t>ai_confidence</t>
        </is>
      </c>
      <c r="J4" s="1" t="inlineStr">
        <is>
          <t>ai_feedback</t>
        </is>
      </c>
    </row>
    <row r="5" ht="26" customHeight="1">
      <c r="A5" s="2" t="inlineStr">
        <is>
          <t>(รหัสตัวอย่าง)</t>
        </is>
      </c>
      <c r="B5" s="2" t="inlineStr">
        <is>
          <t>(ข้อที่)</t>
        </is>
      </c>
      <c r="C5" s="2" t="inlineStr">
        <is>
          <t>(ประเภทโจทย์ (text/img))</t>
        </is>
      </c>
      <c r="D5" s="2" t="inlineStr">
        <is>
          <t>(โจทย์ (ข้อความ / ลิงก์รูปภาพโจทย์))</t>
        </is>
      </c>
      <c r="E5" s="2" t="inlineStr">
        <is>
          <t>(ประเภทคำตอบ (text/img))</t>
        </is>
      </c>
      <c r="F5" s="2" t="inlineStr">
        <is>
          <t>(คำตอบนิสิต (ข้อความ / ลิงก์รูปลายมือ))</t>
        </is>
      </c>
      <c r="G5" s="2" t="inlineStr">
        <is>
          <t>(คะแนนอาจารย์)</t>
        </is>
      </c>
      <c r="H5" s="2" t="inlineStr">
        <is>
          <t>(คะแนน AI)</t>
        </is>
      </c>
      <c r="I5" s="2" t="inlineStr">
        <is>
          <t>(ความมั่นใจ AI)</t>
        </is>
      </c>
      <c r="J5" s="2" t="inlineStr">
        <is>
          <t>(เหตุผล/คำแนะนำของ AI)</t>
        </is>
      </c>
    </row>
    <row r="6" ht="162" customHeight="1">
      <c r="A6" s="6" t="inlineStr">
        <is>
          <t>DS-001</t>
        </is>
      </c>
      <c r="B6" s="6" t="n">
        <v>1</v>
      </c>
      <c r="C6" s="6" t="inlineStr">
        <is>
          <t>text</t>
        </is>
      </c>
      <c r="D6" s="7" t="inlineStr">
        <is>
          <t>อธิบายความต่างของ Row-major vs Column-major</t>
        </is>
      </c>
      <c r="E6" s="6" t="inlineStr">
        <is>
          <t>text</t>
        </is>
      </c>
      <c r="F6" s="7" t="inlineStr">
        <is>
          <t>Row จะนับเป็นแถวจากซ้ายไปขวา
0 1 2 3
4 5 6 7
8 9 10 11
ส่วน Column จากบนลงล่าง
0 4 8
1 5 9
2 6 10
3 7 11</t>
        </is>
      </c>
      <c r="G6" s="6" t="n">
        <v>2</v>
      </c>
      <c r="H6" s="19" t="n">
        <v>2</v>
      </c>
      <c r="I6" s="19" t="inlineStr">
        <is>
          <t>HIGH</t>
        </is>
      </c>
      <c r="J6" s="20" t="inlineStr">
        <is>
          <t>[สำหรับผู้สอน]
นักเรียนอธิบายความแตกต่างได้อย่างถูกต้องและเห็นภาพชัดเจน โดยระบุว่า Row-major เป็นการนับ/จัดเรียงตามแถวจากซ้ายไปขวา (แนวนอน) และ Column-major เป็นการนับ/จัดเรียงตามคอลัมน์จากบนลงล่าง (แนวตั้ง) พร้อมยกตัวอย่างลำดับดัชนีประกอบอย่างถูกต้อง ครบถ้วนตามเกณฑ์ทั้ง 2 ส่วน ได้คะแนนเต็ม 2.00 คะแนน
[สำหรับนักเรียน]
ยอดเยี่ยมมากครับ คำตอบถูกต้องและชัดเจนมาก โดยอธิบายได้ถูกต้องว่า Row-major คือการเรียงข้อมูลตามแนวนอน (แถว) และ Column-major คือการเรียงข้อมูลตามแนวตั้ง (คอลัมน์) พร้อมทั้งมีตัวอย่างประกอบที่ช่วยให้เห็นภาพการจัดเก็บในหน่วยความจำได้อย่างชัดเจน</t>
        </is>
      </c>
    </row>
    <row r="7" ht="162" customHeight="1">
      <c r="A7" s="6" t="inlineStr">
        <is>
          <t>DS-002</t>
        </is>
      </c>
      <c r="B7" s="6" t="n">
        <v>1</v>
      </c>
      <c r="C7" s="6" t="inlineStr">
        <is>
          <t>text</t>
        </is>
      </c>
      <c r="D7" s="7" t="inlineStr">
        <is>
          <t>อธิบายความต่างของ Row-major vs Column-major</t>
        </is>
      </c>
      <c r="E7" s="6" t="inlineStr">
        <is>
          <t>text</t>
        </is>
      </c>
      <c r="F7" s="7" t="inlineStr">
        <is>
          <t>ต่างกันที่การเรียงลำดับข้อมูล เช่น
1 2 3 4
5 6 7 8
vs
1 3 5 7
2 4 6 8</t>
        </is>
      </c>
      <c r="G7" s="6" t="n">
        <v>2</v>
      </c>
      <c r="H7" s="19" t="n">
        <v>2</v>
      </c>
      <c r="I7" s="19" t="inlineStr">
        <is>
          <t>HIGH</t>
        </is>
      </c>
      <c r="J7" s="20" t="inlineStr">
        <is>
          <t>[สำหรับผู้สอน]
นักเรียนอธิบายความแตกต่างผ่านการแสดงตัวอย่างการเรียงลำดับของข้อมูล (ลำดับตัวเลข 1 ถึง 8 ในตาราง 2x4) โดยฝั่งแรกเรียงแบบ Row-major (1 2 3 4 ตามด้วย 5 6 7 8) และฝั่งที่สองเรียงแบบ Column-major (นับลงตามคอลัมน์ 1 ไป 2, 3 ไป 4, 5 ไป 6, 7 ไป 8) ซึ่งแสดงถึงความเข้าใจในแก่นของการจัดลำดับข้อมูลตามแถวและตามคอลัมน์ได้อย่างถูกต้องครบถ้วนทั้งสองฝั่ง จึงให้ 2.00 คะแนนเต็ม
[สำหรับนักเรียน]
คำตอบถูกต้องครับ ตัวอย่างที่ยกมาแสดงให้เห็นชัดเจนว่า Row-major มีการจัดเรียงลำดับข้อมูลไปทีละแถว (1, 2, 3, 4 แล้วต่อด้วยแถวถัดไป 5, 6, 7, 8) ในขณะที่ Column-major มีการจัดเรียงข้อมูลทีละคอลัมน์ (1, 2 ในคอลัมน์แรก แล้วตามด้วย 3, 4 ในคอลัมน์ถัดไป) เพื่อให้คำตอบสมบูรณ์ยิ่งขึ้นในการสอบ ควรเขียนระบุคำอธิบายกำกับด้วยว่าฝั่งใดคือ Row-major และฝั่งใดคือ Column-major ครับ</t>
        </is>
      </c>
    </row>
    <row r="8" ht="74" customHeight="1">
      <c r="A8" s="6" t="inlineStr">
        <is>
          <t>DS-003</t>
        </is>
      </c>
      <c r="B8" s="6" t="n">
        <v>1</v>
      </c>
      <c r="C8" s="6" t="inlineStr">
        <is>
          <t>text</t>
        </is>
      </c>
      <c r="D8" s="7" t="inlineStr">
        <is>
          <t>อธิบายความต่างของ Row-major vs Column-major</t>
        </is>
      </c>
      <c r="E8" s="6" t="inlineStr">
        <is>
          <t>text</t>
        </is>
      </c>
      <c r="F8" s="7" t="inlineStr">
        <is>
          <t>Row-major คือ การหา address โดยเริ่มที่ Row (แถว)
Column-major คือการหา address โดยเริ่มที่ Column (คอลัมน์)</t>
        </is>
      </c>
      <c r="G8" s="6" t="n">
        <v>2</v>
      </c>
      <c r="H8" s="19" t="n">
        <v>2</v>
      </c>
      <c r="I8" s="19" t="inlineStr">
        <is>
          <t>HIGH</t>
        </is>
      </c>
      <c r="J8" s="20" t="inlineStr">
        <is>
          <t>[สำหรับผู้สอน]
นักเรียนอธิบายแก่นสำคัญของ Row-major ว่าเป็นการคำนวณตำแหน่ง/เข้าถึงข้อมูลโดยเริ่มที่แถว (Row) และ Column-major โดยเริ่มที่คอลัมน์ (Column) ได้อย่างถูกต้องครบถ้วนทั้งสองประเด็น จึงให้คะแนนเต็ม 2.00 คะแนน ตามเกณฑ์
[สำหรับนักเรียน]
ตอบได้ถูกต้องครับ Row-major จะอ้างอิงหรือจัดเก็บข้อมูลเรียงตามแถวก่อน ส่วน Column-major จะเรียงตามคอลัมน์ก่อน ซึ่งส่งผลต่อการคำนวณหาตำแหน่ง (address) ของสมาชิกในหน่วยความจำ</t>
        </is>
      </c>
    </row>
    <row r="9" ht="74" customHeight="1">
      <c r="A9" s="6" t="inlineStr">
        <is>
          <t>DS-004</t>
        </is>
      </c>
      <c r="B9" s="6" t="n">
        <v>1</v>
      </c>
      <c r="C9" s="6" t="inlineStr">
        <is>
          <t>text</t>
        </is>
      </c>
      <c r="D9" s="7" t="inlineStr">
        <is>
          <t>อธิบายความต่างของ Row-major vs Column-major</t>
        </is>
      </c>
      <c r="E9" s="6" t="inlineStr">
        <is>
          <t>text</t>
        </is>
      </c>
      <c r="F9" s="7" t="inlineStr">
        <is>
          <t>Row-major คือ Array ที่มีลักษณะเป็นแนวนอน
0 1 2 3 4
Column-major คือ Array ที่เก็บข้อมูลในลักษณะแนวตั้ง
0
1
2
3
4
ทั้งสองต่างกันที่เก็บข้อมูลลักษณะแถวและคอลัมน์</t>
        </is>
      </c>
      <c r="G9" s="6" t="n">
        <v>2</v>
      </c>
      <c r="H9" s="19" t="n">
        <v>2</v>
      </c>
      <c r="I9" s="19" t="inlineStr">
        <is>
          <t>HIGH</t>
        </is>
      </c>
      <c r="J9" s="20" t="inlineStr">
        <is>
          <t>[สำหรับผู้สอน]
นักเรียนสามารถระบุความแตกต่างหลักของ Row-major และ Column-major ได้อย่างถูกต้อง โดยระบุว่า Row-major คือการเก็บข้อมูลตามแนวนอน/แถว และ Column-major คือการเก็บข้อมูลตามแนวตั้ง/คอลัมน์ พร้อมยกตัวอย่างภาพประกอบ จึงให้คะแนนเต็ม 2.00 ตามเกณฑ์ (1.00 สำหรับ Row-major และ 1.00 สำหรับ Column-major)
[สำหรับนักเรียน]
คำตอบถูกต้องและชัดเจนมากครับ คุณเข้าใจหลักการพื้นฐานว่า Row-major เป็นการจัดเรียงหรือจัดเก็บข้อมูลตามแนวนอน (แถว) ในขณะที่ Column-major เป็นการจัดเก็บตามแนวตั้ง (คอลัมน์) ทำได้ดีมากครับ</t>
        </is>
      </c>
    </row>
    <row r="10" ht="118" customHeight="1">
      <c r="A10" s="6" t="inlineStr">
        <is>
          <t>DS-005</t>
        </is>
      </c>
      <c r="B10" s="6" t="n">
        <v>1</v>
      </c>
      <c r="C10" s="6" t="inlineStr">
        <is>
          <t>text</t>
        </is>
      </c>
      <c r="D10" s="7" t="inlineStr">
        <is>
          <t>อธิบายความต่างของ Row-major vs Column-major</t>
        </is>
      </c>
      <c r="E10" s="6" t="inlineStr">
        <is>
          <t>text</t>
        </is>
      </c>
      <c r="F10" s="7" t="inlineStr">
        <is>
          <t>คำนวณ ตำแหน่ง แนวตั้ง แนวนอน</t>
        </is>
      </c>
      <c r="G10" s="6" t="n">
        <v>0</v>
      </c>
      <c r="H10" s="19" t="n">
        <v>1</v>
      </c>
      <c r="I10" s="19" t="inlineStr">
        <is>
          <t>HIGH</t>
        </is>
      </c>
      <c r="J10" s="20" t="inlineStr">
        <is>
          <t>[สำหรับผู้สอน]
นักเรียนตอบเพียงว่า 'คำนวณ ตำแหน่ง แนวตั้ง แนวนอน' ซึ่งเป็นการพูดถึงคำว่าแนวตั้งและแนวนอนแบบกว้างๆ แต่ไม่ได้จับคู่หรืออธิบายอย่างชัดเจนว่า Row-major คือการจัดเก็บตามแถว (แนวนอน) และ Column-major คือตามคอลัมน์ (แนวตั้ง) อย่างไรก็ตาม มีการระบุคีย์เวิร์ดที่เกี่ยวข้องกับมิติแนวตั้งและแนวนอน จึงให้คะแนนความเข้าใจเบื้องต้น 1.00 คะแนนตามเกณฑ์ภาพรวม
[สำหรับนักเรียน]
คำตอบระบุถึง 'แนวตั้ง' และ 'แนวนอน' แต่ยังขาดการระบุความเชื่อมโยงที่ชัดเจนว่า คำใดคู่กับอะไร โดย Row-major หมายถึงการจัดเก็บหรือเข้าถึงข้อมูลเรียงตามแถว (แนวนอน) ทีละแถว ส่วน Column-major หมายถึงการจัดเก็บหรือเข้าถึงเรียงตามคอลัมน์ (แนวตั้ง) ทีละคอลัมน์ครับ</t>
        </is>
      </c>
    </row>
    <row r="11" ht="74" customHeight="1">
      <c r="A11" s="6" t="inlineStr">
        <is>
          <t>DS-006</t>
        </is>
      </c>
      <c r="B11" s="6" t="n">
        <v>1</v>
      </c>
      <c r="C11" s="6" t="inlineStr">
        <is>
          <t>text</t>
        </is>
      </c>
      <c r="D11" s="7" t="inlineStr">
        <is>
          <t>อธิบายความต่างของ Row-major vs Column-major</t>
        </is>
      </c>
      <c r="E11" s="6" t="inlineStr">
        <is>
          <t>text</t>
        </is>
      </c>
      <c r="F11" s="7" t="inlineStr">
        <is>
          <t>Row คือ แถวแนวนอน
Column คือ แถวแนวตั้ง</t>
        </is>
      </c>
      <c r="G11" s="6" t="n">
        <v>1</v>
      </c>
      <c r="H11" s="19" t="n">
        <v>1</v>
      </c>
      <c r="I11" s="19" t="inlineStr">
        <is>
          <t>HIGH</t>
        </is>
      </c>
      <c r="J11" s="20" t="inlineStr">
        <is>
          <t>[สำหรับผู้สอน]
นักเรียนระบุเพียงความหมายเบื้องต้นของ Row ว่าเป็นแนวนอน และ Column ว่าเป็นแนวตั้ง แต่ไม่ได้อธิบายถึงหลักการ 'การจัดเก็บข้อมูลในหน่วยความจำหรือการเข้าถึงข้อมูล' (Row-major vs Column-major order) ตามบริบทของโครงสร้างข้อมูล จึงให้ 1.00 คะแนนสำหรับความเข้าใจเบื้องต้นของคำว่า Row และ Column
[สำหรับนักเรียน]
คำตอบของคุณถูกต้องในส่วนที่ระบุว่า Row คือแนวนอน และ Column คือแนวตั้ง แต่สำหรับหัวข้อ 'Row-major vs Column-major' ในวิชาโครงสร้างข้อมูล ควรอธิบายเพิ่มเติมถึง 'รูปแบบการจัดเรียงหรือจัดเก็บข้อมูลลงในหน่วยความจำ (Memory)' เช่น Row-major จะนำข้อมูลในแถวแนวนอนมาเก็บเรียงกันจนหมดแถวก่อนจึงขึ้นแถวถัดไป ส่วน Column-major จะเก็บข้อมูลทีละคอลัมน์ในแนวตั้งเรียงต่อกันไปครับ</t>
        </is>
      </c>
    </row>
    <row r="12" ht="52" customHeight="1">
      <c r="A12" s="6" t="inlineStr">
        <is>
          <t>DS-007</t>
        </is>
      </c>
      <c r="B12" s="6" t="n">
        <v>1</v>
      </c>
      <c r="C12" s="6" t="inlineStr">
        <is>
          <t>text</t>
        </is>
      </c>
      <c r="D12" s="7" t="inlineStr">
        <is>
          <t>อธิบายความต่างของ Row-major vs Column-major</t>
        </is>
      </c>
      <c r="E12" s="6" t="inlineStr">
        <is>
          <t>text</t>
        </is>
      </c>
      <c r="F12" s="7" t="inlineStr">
        <is>
          <t>Row-major = เริ่มเรียงจากฝั่งแถว
Column-major = เริ่มเรียงจากฝั่งคอลัมน์</t>
        </is>
      </c>
      <c r="G12" s="6" t="n">
        <v>1</v>
      </c>
      <c r="H12" s="19" t="n">
        <v>2</v>
      </c>
      <c r="I12" s="19" t="inlineStr">
        <is>
          <t>HIGH</t>
        </is>
      </c>
      <c r="J12" s="20" t="inlineStr">
        <is>
          <t>[สำหรับผู้สอน]
นักเรียนสามารถระบุแก่นสำคัญของความแตกต่างได้ถูกต้อง โดยระบุว่า Row-major คือการเรียงลำดับจากแถว และ Column-major คือการเรียงลำดับจากคอลัมน์ ครอบคลุมทั้งสองส่วนตามเกณฑ์ จึงให้ 2.00 คะแนนเต็ม
[สำหรับนักเรียน]
คำตอบถูกต้องและตรงประเด็นครับ Row-major จัดเก็บ/เรียงข้อมูลตามแนวนอน (แถว) ทีละแถว ส่วน Column-major จะจัดเก็บ/เรียงข้อมูลตามแนวตั้ง (คอลัมน์) ทีละคอลัมน์ สามารถเสริมเรื่องการจัดเก็บบนหน่วยความจำเชิงเส้น (1D array ใน memory) เพิ่มเติมเพื่อความสมบูรณ์ยิ่งขึ้นได้ครับ</t>
        </is>
      </c>
    </row>
    <row r="13" ht="52" customHeight="1">
      <c r="A13" s="6" t="inlineStr">
        <is>
          <t>DS-008</t>
        </is>
      </c>
      <c r="B13" s="6" t="n">
        <v>1</v>
      </c>
      <c r="C13" s="6" t="inlineStr">
        <is>
          <t>text</t>
        </is>
      </c>
      <c r="D13" s="7" t="inlineStr">
        <is>
          <t>อธิบายความต่างของ Row-major vs Column-major</t>
        </is>
      </c>
      <c r="E13" s="6" t="inlineStr">
        <is>
          <t>text</t>
        </is>
      </c>
      <c r="F13" s="7" t="inlineStr">
        <is>
          <t>Row จะไล่จาก ซ้ายไปขวา
Column จะไล่จากบนลงล่าง
สูตรที่ใช้ต่างกันเล็กน้อย
หากใช้ Array 2D จะต้องคำนวณ Index 2 ตัว
เพื่อให้ Row, Column ทำงานควบคู่กัน
Row →
Col ↓</t>
        </is>
      </c>
      <c r="G13" s="6" t="n">
        <v>1</v>
      </c>
      <c r="H13" s="19" t="n">
        <v>2</v>
      </c>
      <c r="I13" s="19" t="inlineStr">
        <is>
          <t>HIGH</t>
        </is>
      </c>
      <c r="J13" s="20" t="inlineStr">
        <is>
          <t>[สำหรับผู้สอน]
นักเรียนสามารถอธิบายความแตกต่างหลักระหว่าง Row-major และ Column-major ได้อย่างถูกต้องตามเกณฑ์ โดยระบุว่า Row-major คือการไล่ลำดับตามแนวนอน (ซ้ายไปขวา) และ Column-major คือการไล่ลำดับตามแนวตั้ง (บนลงล่าง) พร้อมมีลูกศรกำกับทิศทางชัดเจน แม้จะมีคำอธิบายเพิ่มเติมเรื่องการคำนวณ Index หรือสูตร แต่ใจความสำคัญถูกต้องครบทั้งสองส่วน จึงให้คะแนนเต็ม 2.00
[สำหรับนักเรียน]
คำตอบถูกต้องและชัดเจนมากครับ ที่อธิบายว่า Row-major เป็นการจัดเรียง/เข้าถึงข้อมูลทีละแถวในแนวนอน (ซ้ายไปขวา) และ Column-major เป็นการจัดเรียง/เข้าถึงทีละคอลัมน์ในแนวตั้ง (บนลงล่าง) สามารถเสริมเพิ่มเติมได้ว่าเป็นการนำข้อมูลของ Array 2 มิติมาเรียงต่อกันเป็นเส้นตรงในหน่วยความจำ (1D Memory)</t>
        </is>
      </c>
    </row>
    <row r="14" ht="74" customHeight="1">
      <c r="A14" s="6" t="inlineStr">
        <is>
          <t>DS-009</t>
        </is>
      </c>
      <c r="B14" s="6" t="n">
        <v>1</v>
      </c>
      <c r="C14" s="6" t="inlineStr">
        <is>
          <t>text</t>
        </is>
      </c>
      <c r="D14" s="7" t="inlineStr">
        <is>
          <t>อธิบายความต่างของ Row-major vs Column-major</t>
        </is>
      </c>
      <c r="E14" s="6" t="inlineStr">
        <is>
          <t>text</t>
        </is>
      </c>
      <c r="F14" s="7" t="inlineStr">
        <is>
          <t>Row-major เริ่มเรียงจากแถวแกน x ก่อน เช่น
1, 2, 3, 4, 5  R1
6, 7, 8, 9, 10  R2
Column-major เริ่มเรียงจากแกน y ก่อน เช่น
C1  C2  C3  C4  C5
1   2   3   4   5
6   7   8   9   10</t>
        </is>
      </c>
      <c r="G14" s="6" t="n">
        <v>2</v>
      </c>
      <c r="H14" s="19" t="n">
        <v>2</v>
      </c>
      <c r="I14" s="19" t="inlineStr">
        <is>
          <t>HIGH</t>
        </is>
      </c>
      <c r="J14" s="20" t="inlineStr">
        <is>
          <t>[สำหรับผู้สอน]
นักเรียนสามารถอธิบายและยกตัวอย่างความแตกต่างระหว่าง Row-major และ Column-major ได้อย่างถูกต้อง โดยระบุว่า Row-major เรียงตามแนวนอน (แถว/แกน x) และ Column-major เรียงตามแนวตั้ง (คอลัมน์/แกน y) พร้อมแสดงตัวอย่างประกอบที่สื่อถึงลำดับการจัดเรียงได้อย่างชัดเจน ตรงตามเกณฑ์ที่กำหนดทั้ง 2 ส่วน
[สำหรับนักเรียน]
ยอดเยี่ยมมากครับ คุณอธิบายความแตกต่างระหว่าง Row-major (การจัดเก็บ/เรียงลำดับข้อมูลตามแนวแถวหรือแนวนอน) และ Column-major (การจัดเก็บ/เรียงลำดับข้อมูลตามแนวคอลัมน์หรือแนวตั้ง) พร้อมยกตัวอย่างประกอบได้ถูกต้องและชัดเจน</t>
        </is>
      </c>
    </row>
    <row r="15" ht="96" customHeight="1">
      <c r="A15" s="6" t="inlineStr">
        <is>
          <t>DS-010</t>
        </is>
      </c>
      <c r="B15" s="6" t="n">
        <v>1</v>
      </c>
      <c r="C15" s="6" t="inlineStr">
        <is>
          <t>text</t>
        </is>
      </c>
      <c r="D15" s="7" t="inlineStr">
        <is>
          <t>อธิบายความต่างของ Row-major vs Column-major</t>
        </is>
      </c>
      <c r="E15" s="6" t="inlineStr">
        <is>
          <t>text</t>
        </is>
      </c>
      <c r="F15" s="7" t="inlineStr">
        <is>
          <t>Row-major จะเรียกแถวก่อนหลัก
Column-major จะเรียกหลักก่อนแถว</t>
        </is>
      </c>
      <c r="G15" s="6" t="n">
        <v>2</v>
      </c>
      <c r="H15" s="19" t="n">
        <v>2</v>
      </c>
      <c r="I15" s="19" t="inlineStr">
        <is>
          <t>HIGH</t>
        </is>
      </c>
      <c r="J15" s="20" t="inlineStr">
        <is>
          <t>[สำหรับผู้สอน]
นักเรียนอธิบายโดยใช้คำว่า 'แถวก่อนหลัก' สำหรับ Row-major และ 'หลักก่อนแถว' สำหรับ Column-major ซึ่งคำว่า 'หลัก' ในบริบทนี้หมายถึง Column (คอลัมน์) และคำว่า 'เรียก' สื่อถึงลำดับการเข้าถึงหรืออ้างอิงข้อมูล ถือว่าเข้าใจแก่นสำคัญของลำดับมิติในการจัดเก็บ/เข้าถึงข้อมูลทั้งสองแบบ จึงให้คะแนนเต็ม 2.00 ตามเกณฑ์
[สำหรับนักเรียน]
คำตอบถูกต้องตามหลักการครับ คุณเข้าใจลำดับการเข้าถึง/จัดเก็บของ Row-major (ไปตามแถว/แนวนอนก่อน) และ Column-major (ไปตามหลักหรือคอลัมน์/แนวตั้งก่อน) ได้เป็นอย่างดี เพื่อความสมบูรณ์ยิ่งขึ้นในเชิงวิชาการ แนะนำให้อธิบายเพิ่มเติมว่าเป็นการจัดเก็บข้อมูลแบบต่อเนื่องในหน่วยความจำ (Memory layout) เช่น ข้อมูลแถวเดียวกันจะอยู่ติดกันใน Row-major เป็นต้น</t>
        </is>
      </c>
    </row>
    <row r="16" ht="52" customHeight="1">
      <c r="A16" s="6" t="inlineStr">
        <is>
          <t>DS-011</t>
        </is>
      </c>
      <c r="B16" s="6" t="n">
        <v>1</v>
      </c>
      <c r="C16" s="6" t="inlineStr">
        <is>
          <t>text</t>
        </is>
      </c>
      <c r="D16" s="7" t="inlineStr">
        <is>
          <t>อธิบายความต่างของ Row-major vs Column-major</t>
        </is>
      </c>
      <c r="E16" s="6" t="inlineStr">
        <is>
          <t>text</t>
        </is>
      </c>
      <c r="F16" s="7" t="inlineStr">
        <is>
          <t>ถ้าเป็น Row-major จะนำข้อมูลจากแถว
ถ้าเป็น Column-major จะนำข้อมูลจากด้านบนทั้งหมด ซึ่งไม่เหมือนกัน</t>
        </is>
      </c>
      <c r="G16" s="6" t="n">
        <v>1</v>
      </c>
      <c r="H16" s="19" t="n">
        <v>1</v>
      </c>
      <c r="I16" s="19" t="inlineStr">
        <is>
          <t>HIGH</t>
        </is>
      </c>
      <c r="J16" s="20" t="inlineStr">
        <is>
          <t>[สำหรับผู้สอน]
นักเรียนอธิบายฝั่ง Row-major ได้ถูกต้องว่านำข้อมูลจากแถว (ได้ 1.0 คะแนน) แต่ในฝั่ง Column-major ระบุว่า 'นำข้อมูลจากด้านบนทั้งหมด' ซึ่งไม่ถูกต้องและไม่ได้สื่อถึงการจัดเก็บหรือเข้าถึงข้อมูลตามหลักคอลัมน์ (แนวตั้ง) อย่างชัดเจน จึงได้ 0.0 คะแนนในส่วนนี้ รวมได้ 1.0 คะแนน
[สำหรับนักเรียน]
คุณเข้าใจหลักการของ Row-major ถูกต้องว่าเป็นการจัดการข้อมูลตามแถว (แนวนอน) แต่สำหรับ Column-major จะเป็นการจัดเก็บหรือเข้าถึงข้อมูลเรียงตาม 'หลัก' หรือ 'คอลัมน์' (แนวตั้ง) ทีละคอลัมน์ ไม่ใช่การนำข้อมูลจากด้านบนทั้งหมดครับ</t>
        </is>
      </c>
    </row>
    <row r="17" ht="74" customHeight="1">
      <c r="A17" s="6" t="inlineStr">
        <is>
          <t>DS-012</t>
        </is>
      </c>
      <c r="B17" s="6" t="n">
        <v>1</v>
      </c>
      <c r="C17" s="6" t="inlineStr">
        <is>
          <t>text</t>
        </is>
      </c>
      <c r="D17" s="7" t="inlineStr">
        <is>
          <t>อธิบายความต่างของ Row-major vs Column-major</t>
        </is>
      </c>
      <c r="E17" s="6" t="inlineStr">
        <is>
          <t>text</t>
        </is>
      </c>
      <c r="F17" s="7" t="inlineStr">
        <is>
          <t>Row-major จะทำการนับแถวก่อนหลัก และคำนวณจากแถวก่อน
Column-major จะทำการนับหลักก่อนแถว และคำนวณจากหลักก่อน
ซึ่งแต่ละภาษาของคอมพิวเตอร์ที่ใช้ไม่เหมือนกัน</t>
        </is>
      </c>
      <c r="G17" s="6" t="n">
        <v>2</v>
      </c>
      <c r="H17" s="19" t="n">
        <v>2</v>
      </c>
      <c r="I17" s="19" t="inlineStr">
        <is>
          <t>HIGH</t>
        </is>
      </c>
      <c r="J17" s="20" t="inlineStr">
        <is>
          <t>[สำหรับผู้สอน]
นักเรียนสามารถอธิบายความแตกต่างของ Row-major และ Column-major ได้อย่างถูกต้องตามแก่นของเนื้อหา โดยระบุว่า Row-major นับ/จัดการข้อมูลตามแถวก่อนหลัก (Row ก่อน Column) และ Column-major นับ/จัดการข้อมูลตามหลักก่อนแถว (Column ก่อน Row) ซึ่งตรงตามเกณฑ์ทั้งสองส่วน ส่วนเสริมเรื่องภาษาคอมพิวเตอร์ที่ใช้แตกต่างกัน (เช่น C ใช้ Row-major ส่วน Fortran/MATLAB ใช้ Column-major) เป็นข้อมูลเพิ่มเติมที่ถูกต้อง
[สำหรับนักเรียน]
คำตอบถูกต้องและครบถ้วนมากครับ คุณเข้าใจหลักการจัดลำดับของข้อมูลทั้งแบบ Row-major (เรียงตามแถวก่อนหลัก) และ Column-major (เรียงตามหลักก่อนแถว) รวมถึงเข้าใจบริบทว่าแต่ละภาษาโปรแกรมมีการกำหนดลำดับการจัดเก็บในหน่วยความจำที่แตกต่างกันด้วย</t>
        </is>
      </c>
    </row>
    <row r="18" ht="52" customHeight="1">
      <c r="A18" s="6" t="inlineStr">
        <is>
          <t>DS-013</t>
        </is>
      </c>
      <c r="B18" s="6" t="n">
        <v>1</v>
      </c>
      <c r="C18" s="6" t="inlineStr">
        <is>
          <t>text</t>
        </is>
      </c>
      <c r="D18" s="7" t="inlineStr">
        <is>
          <t>อธิบายความต่างของ Row-major vs Column-major</t>
        </is>
      </c>
      <c r="E18" s="6" t="inlineStr">
        <is>
          <t>text</t>
        </is>
      </c>
      <c r="F18" s="7" t="inlineStr">
        <is>
          <t>ความต่างของ Row-major และ Column-major นั้น สามารถอธิบายได้โดย Row เปรียบเสมือนแกน x และ Column เปรียบเทียบ y การเขียนเก็บ Array 2D แบบ Row และ Column ซึ่งนำมาใช้ในการคำนวณ Address ของ Array ในลักษณะ Row หรือ Column</t>
        </is>
      </c>
      <c r="G18" s="6" t="n">
        <v>2</v>
      </c>
      <c r="H18" s="19" t="n">
        <v>1</v>
      </c>
      <c r="I18" s="19" t="inlineStr">
        <is>
          <t>HIGH</t>
        </is>
      </c>
      <c r="J18" s="20" t="inlineStr">
        <is>
          <t>[สำหรับผู้สอน]
นักเรียนมีความเข้าใจเบื้องต้นว่า Row-major และ Column-major เกี่ยวข้องกับการเรียงลำดับมิติ/แกน (Row กับ Column) ในอาร์เรย์ 2 มิติเพื่อใช้คำนวณตำแหน่งที่อยู่ (Address) ในหน่วยความจำ แต่ยังไม่ได้อธิบายกลไกที่ชัดเจนว่า Row-major คือการเก็บข้อมูลทีละแถวให้เสร็จก่อน (แนวนอน) ส่วน Column-major คือการเก็บข้อมูลทีละคอลัมน์ให้เสร็จก่อน (แนวตั้ง) เข้าข่ายเกณฑ์ระบุความเข้าใจเบื้องต้น จึงให้คะแนน 1.00 จาก 2.00 คะแนน
[สำหรับนักเรียน]
คุณมีความเข้าใจเบื้องต้นที่ถูกต้องว่าทั้งสองแบบเกี่ยวข้องกับแถว (Row) และคอลัมน์ (Column) ในการจัดเรียงเพื่อคำนวณตำแหน่งในหน่วยความจำ แต่ควรระบุให้ชัดเจนขึ้นว่า:
- Row-major คือการนำข้อมูลใน 'แถวเดียวกัน' (แนวนอน) มาเรียงติดต่อกันในหน่วยความจำให้ครบก่อนขึ้นแถวถัดไป
- Column-major คือการนำข้อมูลใน 'คอลัมน์เดียวกัน' (แนวตั้ง) มาเรียงติดต่อกันในหน่วยความจำให้ครบก่อนขึ้นคอลัมน์ถัดไป</t>
        </is>
      </c>
    </row>
    <row r="19" ht="118" customHeight="1">
      <c r="A19" s="6" t="inlineStr">
        <is>
          <t>DS-014</t>
        </is>
      </c>
      <c r="B19" s="6" t="n">
        <v>1</v>
      </c>
      <c r="C19" s="6" t="inlineStr">
        <is>
          <t>text</t>
        </is>
      </c>
      <c r="D19" s="7" t="inlineStr">
        <is>
          <t>อธิบายความต่างของ Row-major vs Column-major</t>
        </is>
      </c>
      <c r="E19" s="6" t="inlineStr">
        <is>
          <t>text</t>
        </is>
      </c>
      <c r="F19" s="7" t="inlineStr">
        <is>
          <t>Row-major และ Column-major ต่างกันตรงการคำนวณหา Address เนื่องจาก Row major จัดเก็บเป็น Row และ Column-major จัดเก็บ Col ซึ่งคือ Array 2D</t>
        </is>
      </c>
      <c r="G19" s="6" t="n">
        <v>2</v>
      </c>
      <c r="H19" s="19" t="n">
        <v>2</v>
      </c>
      <c r="I19" s="19" t="inlineStr">
        <is>
          <t>HIGH</t>
        </is>
      </c>
      <c r="J19" s="20" t="inlineStr">
        <is>
          <t>[สำหรับผู้สอน]
นักเรียนสามารถระบุความแตกต่างหลักได้ถูกต้องว่า Row-major จัดเก็บข้อมูลเป็นแถว (Row) และ Column-major จัดเก็บข้อมูลเป็นหลัก/คอลัมน์ (Column) ในบริบทของ 2D Array รวมถึงการมีผลต่อการคำนวณตำแหน่ง Address ซึ่งตรงตามแก่นของเกณฑ์การให้คะแนนทั้งสองส่วน จึงให้คะแนนเต็ม 2.00 คะแนน
[สำหรับนักเรียน]
คำตอบถูกต้องและตรงประเด็นครับ โดย Row-major เป็นการจัดเก็บข้อมูลเรียงตามแถวก่อน ส่วน Column-major เป็นการจัดเก็บเรียงตามคอลัมน์ก่อน ซึ่งส่งผลให้สูตรการคำนวณหา Memory Address ของสมาชิกในอาร์เรย์ 2 มิติแตกต่างกัน</t>
        </is>
      </c>
    </row>
    <row r="20" ht="96" customHeight="1">
      <c r="A20" s="6" t="inlineStr">
        <is>
          <t>DS-015</t>
        </is>
      </c>
      <c r="B20" s="6" t="n">
        <v>1</v>
      </c>
      <c r="C20" s="6" t="inlineStr">
        <is>
          <t>text</t>
        </is>
      </c>
      <c r="D20" s="7" t="inlineStr">
        <is>
          <t>อธิบายความต่างของ Row-major vs Column-major</t>
        </is>
      </c>
      <c r="E20" s="6" t="inlineStr">
        <is>
          <t>text</t>
        </is>
      </c>
      <c r="F20" s="7" t="inlineStr">
        <is>
          <t>Row-major → 1D นับเป็นแถว
2D นับ แถว,หลัก
นับเป็นแนวนอน ซ้ายไปขวา
Column-major → 1D นับเป็นหลัก
2D นับเป็น หลัก,แถว
นับแนวตั้ง บนลงล่าง
A[2:3]</t>
        </is>
      </c>
      <c r="G20" s="6" t="n">
        <v>2</v>
      </c>
      <c r="H20" s="19" t="n">
        <v>2</v>
      </c>
      <c r="I20" s="19" t="inlineStr">
        <is>
          <t>HIGH</t>
        </is>
      </c>
      <c r="J20" s="20" t="inlineStr">
        <is>
          <t>[สำหรับผู้สอน]
นักเรียนสามารถอธิบายความแตกต่างหลักได้อย่างถูกต้อง โดยระบุว่า Row-major คือการจัดเก็บ/นับเป็นแนวนอน (แถว) จากซ้ายไปขวา และ Column-major คือการจัดเก็บ/นับเป็นแนวตั้ง (หลัก/คอลัมน์) จากบนลงล่าง จึงได้คะแนนเต็มตามเกณฑ์ทั้งสองส่วน
[สำหรับนักเรียน]
ยอดเยี่ยมมากครับ คำตอบถูกต้องและสื่อสารแนวคิดหลักได้ชัดเจน โดย Row-major จะเรียง/เข้าถึงข้อมูลทีละแถว (แนวนอน ซ้ายไปขวา) และ Column-major จะเรียง/เข้าถึงข้อมูลทีละหลักหรือคอลัมน์ (แนวตั้ง บนลงล่าง)</t>
        </is>
      </c>
    </row>
    <row r="21" ht="74" customHeight="1">
      <c r="A21" s="6" t="inlineStr">
        <is>
          <t>DS-016</t>
        </is>
      </c>
      <c r="B21" s="6" t="n">
        <v>1</v>
      </c>
      <c r="C21" s="6" t="inlineStr">
        <is>
          <t>text</t>
        </is>
      </c>
      <c r="D21" s="7" t="inlineStr">
        <is>
          <t>อธิบายความต่างของ Row-major vs Column-major</t>
        </is>
      </c>
      <c r="E21" s="6" t="inlineStr">
        <is>
          <t>text</t>
        </is>
      </c>
      <c r="F21" s="7" t="inlineStr">
        <is>
          <t>Row-major คือ การคิดแบบใช้ Array ตัวที่ 2 ในการคำนวณ หรือ ใช้แถวเป็น
การคำนวณ โดยใช้สูตร B + W[(U2-L2+1)(i-L1)+(j-L2)]
Column-major คือ การคิดแบบใช้ Array ตัวแรก หรือใช้คอลัมน์ในการคำนวณ
โดยใช้สูตร B + W[(U1-L1+1)(j-L2)+(i-L1)]</t>
        </is>
      </c>
      <c r="G21" s="6" t="n">
        <v>2</v>
      </c>
      <c r="H21" s="19" t="n">
        <v>2</v>
      </c>
      <c r="I21" s="19" t="inlineStr">
        <is>
          <t>HIGH</t>
        </is>
      </c>
      <c r="J21" s="20" t="inlineStr">
        <is>
          <t>[สำหรับผู้สอน]
นักเรียนสามารถระบุความแตกต่างหลักของ Row-major และ Column-major ได้ โดยอธิบายว่า Row-major ใช้แถวในการคำนวณ/จัดเรียง พร้อมทั้งแสดงสูตรการคำนวณตำแหน่งที่ถูกต้อง (คูณด้วยขนาดของมิติที่ 2 หรือจำนวนหลัก) และ Column-major ใช้คอลัมน์ในการคำนวณ พร้อมสูตรการคำนวณตำแหน่งที่ถูกต้อง (คูณด้วยขนาดของมิติที่ 1 หรือจำนวนแถว) ซึ่งสะท้อนถึงความเข้าใจเรื่องการจัดเก็บ/เข้าถึงข้อมูลแบบเรียงตามแถวและตามคอลัมน์ จึงให้คะแนนเต็ม 2.00 ตามเกณฑ์
[สำหรับนักเรียน]
คำตอบถูกต้องครบถ้วนครับ คุณเข้าใจแนวคิดว่า Row-major ให้ความสำคัญกับแถว (จัดเก็บเรียงตามแถวก่อน) และ Column-major เรียงตามคอลัมน์ก่อน รวมถึงเขียนสูตรการคำนวณตำแหน่งในหน่วยความจำของทั้งสองแบบได้ถูกต้อง แนะนำเพิ่มเติมว่าในการอธิบาย ควรระบุคำว่า 'การจัดเก็บข้อมูลในหน่วยความจำเรียงตามแนวนอน/แนวตั้ง' ให้ชัดเจนเพื่อความสมบูรณ์ยิ่งขึ้นครับ</t>
        </is>
      </c>
    </row>
    <row r="22" ht="52" customHeight="1">
      <c r="A22" s="6" t="inlineStr">
        <is>
          <t>DS-017</t>
        </is>
      </c>
      <c r="B22" s="6" t="n">
        <v>1</v>
      </c>
      <c r="C22" s="6" t="inlineStr">
        <is>
          <t>text</t>
        </is>
      </c>
      <c r="D22" s="7" t="inlineStr">
        <is>
          <t>อธิบายความต่างของ Row-major vs Column-major</t>
        </is>
      </c>
      <c r="E22" s="6" t="inlineStr">
        <is>
          <t>text</t>
        </is>
      </c>
      <c r="F22" s="7" t="inlineStr">
        <is>
          <t>Arr[3][4]
Row จะเรียงแถวก่อน
Row →
1 2 3 4
5 6 7 8
9 10 11 12
Column จะเรียงหลักก่อน
Col ↓
1 4 7 10
2 5 8 11
3 6 9 12</t>
        </is>
      </c>
      <c r="G22" s="6" t="n">
        <v>2</v>
      </c>
      <c r="H22" s="19" t="n">
        <v>2</v>
      </c>
      <c r="I22" s="19" t="inlineStr">
        <is>
          <t>HIGH</t>
        </is>
      </c>
      <c r="J22" s="20" t="inlineStr">
        <is>
          <t>[สำหรับผู้สอน]
นักเรียนสามารถอธิบายความแตกต่างได้อย่างถูกต้องและเห็นภาพชัดเจน โดยอธิบายว่า Row-major เรียงตามแถวก่อน (แนวนอน) พร้อมเขียนแผนผังลำดับตัวเลข 1 ถึง 12 ตามแถว และ Column-major เรียงตามหลักก่อน (แนวตั้ง) พร้อมเขียนลำดับตัวเลขตามคอลัมน์ เข้าเกณฑ์การให้คะแนนทั้งสองส่วน ส่วนละ 1.00 คะแนน รวมได้ 2.00 คะแนน
[สำหรับนักเรียน]
ยอดเยี่ยมมากครับ คุณอธิบายและยกตัวอย่างการจัดเรียงข้อมูลแบบ Row-major (เรียงตามแถวก่อน) และ Column-major (เรียงตามหลักก่อน) ผ่านเมทริกซ์ Arr[3][4] ได้อย่างถูกต้องและชัดเจนมากครับ</t>
        </is>
      </c>
    </row>
    <row r="23" ht="96" customHeight="1">
      <c r="A23" s="6" t="inlineStr">
        <is>
          <t>DS-018</t>
        </is>
      </c>
      <c r="B23" s="6" t="n">
        <v>1</v>
      </c>
      <c r="C23" s="6" t="inlineStr">
        <is>
          <t>text</t>
        </is>
      </c>
      <c r="D23" s="7" t="inlineStr">
        <is>
          <t>อธิบายความต่างของ Row-major vs Column-major</t>
        </is>
      </c>
      <c r="E23" s="6" t="inlineStr">
        <is>
          <t>text</t>
        </is>
      </c>
      <c r="F23" s="7" t="inlineStr">
        <is>
          <t>Row-major จะเริ่มนับที่แถว
Column-major จะเริ่มนับที่คอลัม
ซึ่งตำแหน่ง Address จะคงที่ในกรณีที่เท่ากัน Address</t>
        </is>
      </c>
      <c r="G23" s="6" t="n">
        <v>2</v>
      </c>
      <c r="H23" s="19" t="n">
        <v>2</v>
      </c>
      <c r="I23" s="19" t="inlineStr">
        <is>
          <t>HIGH</t>
        </is>
      </c>
      <c r="J23" s="20" t="inlineStr">
        <is>
          <t>[สำหรับผู้สอน]
นักเรียนสามารถระบุความแตกต่างหลักได้ถูกต้องว่า Row-major เริ่มพิจารณา/จัดเก็บที่แถวก่อน และ Column-major เริ่มที่คอลัมน์ก่อน แม้จะมีประโยคขยายความเพิ่มเติมที่ค่อนข้างสับสนเกี่ยวกับตำแหน่ง Address แต่แก่นสาระสำคัญของทั้ง Row-major (1.0 คะแนน) และ Column-major (1.0 คะแนน) ถูกต้องตามเกณฑ์ที่กำหนด จึงให้คะแนนเต็ม 2.00 คะแนน
[สำหรับนักเรียน]
ทำได้ดีมากครับ สามารถระบุความแตกต่างหลักได้ถูกต้องว่า Row-major จัดการตามแถวก่อน และ Column-major จัดการตามคอลัมน์ก่อน ทั้งนี้ ขอแนะนำเพิ่มเติมให้อธิบายให้ชัดเจนขึ้นเกี่ยวกับการจัดเรียงข้อมูลลงในหน่วยความจำต่อเนื่อง (Memory) เช่น Row-major จะเรียงข้อมูลในแถวเดียวกันให้ครบก่อนขึ้นแถวถัดไป ส่วน Column-major จะเรียงข้อมูลในคอลัมน์เดียวกันให้ครบก่อนขึ้นคอลัมน์ถัดไป เพื่อความสมบูรณ์เชิงวิชาการครับ</t>
        </is>
      </c>
    </row>
    <row r="24" ht="74" customHeight="1">
      <c r="A24" s="6" t="inlineStr">
        <is>
          <t>DS-019</t>
        </is>
      </c>
      <c r="B24" s="6" t="n">
        <v>1</v>
      </c>
      <c r="C24" s="6" t="inlineStr">
        <is>
          <t>text</t>
        </is>
      </c>
      <c r="D24" s="7" t="inlineStr">
        <is>
          <t>อธิบายความต่างของ Row-major vs Column-major</t>
        </is>
      </c>
      <c r="E24" s="6" t="inlineStr">
        <is>
          <t>text</t>
        </is>
      </c>
      <c r="F24" s="7" t="inlineStr">
        <is>
          <t>Row major คือ การคำนวณจาก แถว
Column-major คือการคำนวณจากหลักตัวตั้ง
ความแตกต่างคือ การจัดเนื้อที่ของค่าจากแนวนอน และแนวตั้ง</t>
        </is>
      </c>
      <c r="G24" s="6" t="n">
        <v>2</v>
      </c>
      <c r="H24" s="19" t="n">
        <v>2</v>
      </c>
      <c r="I24" s="19" t="inlineStr">
        <is>
          <t>HIGH</t>
        </is>
      </c>
      <c r="J24" s="20" t="inlineStr">
        <is>
          <t>[สำหรับผู้สอน]
นักเรียนสามารถอธิบายความแตกต่างของทั้งสองแบบได้ถูกต้องตามแนวคิดหลัก โดยระบุว่า Row-major ทำงานตามแถว/แนวนอน และ Column-major ทำงานตามหลัก (แนวตั้ง) ซึ่งเป็นการจัดเนื้อที่ในหน่วยความจำ จึงให้คะแนนเต็ม 2.00 คะแนน (ส่วนของ Row-major 1.0 คะแนน และ Column-major 1.0 คะแนน)
[สำหรับนักเรียน]
คำตอบถูกต้องและครอบคลุมใจความสำคัญดีมากครับ โดย Row-major เป็นการจัดเก็บ/เข้าถึงข้อมูลเรียงตามแนวนอน (แถว) และ Column-major เป็นการจัดเก็บ/เข้าถึงข้อมูลเรียงตามแนวตั้ง (คอลัมน์/หลัก)</t>
        </is>
      </c>
    </row>
    <row r="25" ht="52" customHeight="1">
      <c r="A25" s="6" t="inlineStr">
        <is>
          <t>DS-020</t>
        </is>
      </c>
      <c r="B25" s="6" t="n">
        <v>1</v>
      </c>
      <c r="C25" s="6" t="inlineStr">
        <is>
          <t>text</t>
        </is>
      </c>
      <c r="D25" s="7" t="inlineStr">
        <is>
          <t>อธิบายความต่างของ Row-major vs Column-major</t>
        </is>
      </c>
      <c r="E25" s="6" t="inlineStr">
        <is>
          <t>text</t>
        </is>
      </c>
      <c r="F25" s="7" t="inlineStr">
        <is>
          <t>Row-major เป็นแนวนอน
column-major เป็นแนวตั้ง ทั้งคู่ก็ไม่เหมือนกัน</t>
        </is>
      </c>
      <c r="G25" s="6" t="n">
        <v>1</v>
      </c>
      <c r="H25" s="19" t="n">
        <v>2</v>
      </c>
      <c r="I25" s="19" t="inlineStr">
        <is>
          <t>HIGH</t>
        </is>
      </c>
      <c r="J25" s="20" t="inlineStr">
        <is>
          <t>[สำหรับผู้สอน]
นักเรียนสามารถระบุความแตกต่างหลักได้อย่างถูกต้อง โดยระบุว่า Row-major คือแนวนอน (แถว) ได้ 1.00 คะแนน และ Column-major คือแนวตั้ง (คอลัมน์) ได้ 1.00 คะแนน รวมเป็น 2.00 คะแนนเต็มตามเกณฑ์ rubric แม้จะอธิบายสั้นแต่สื่อถึงใจความสำคัญของการเรียงลำดับได้อย่างถูกต้อง
[สำหรับนักเรียน]
ตอบได้ถูกต้องครับ Row-major สื่อถึงการจัดเก็บหรือเข้าถึงข้อมูลตามแนวนอน (แถว/Row) และ Column-major สื่อถึงการจัดเก็บข้อมูลตามแนวตั้ง (คอลัมน์/Column) เพื่อให้คำตอบสมบูรณ์ยิ่งขึ้น สามารถเสริมคำอธิบายเพิ่มเติมว่าเป็นการจัดเก็บข้อมูลของอาเรย์หลายมิติลงในหน่วยความจำแบบเชิงเส้น (Linear memory) ทีละแถวหรือทีละคอลัมน์ได้ครับ</t>
        </is>
      </c>
    </row>
    <row r="26" ht="96" customHeight="1">
      <c r="A26" s="6" t="inlineStr">
        <is>
          <t>DS-021</t>
        </is>
      </c>
      <c r="B26" s="6" t="n">
        <v>1</v>
      </c>
      <c r="C26" s="6" t="inlineStr">
        <is>
          <t>text</t>
        </is>
      </c>
      <c r="D26" s="7" t="inlineStr">
        <is>
          <t>อธิบายความต่างของ Row-major vs Column-major</t>
        </is>
      </c>
      <c r="E26" s="6" t="inlineStr">
        <is>
          <t>text</t>
        </is>
      </c>
      <c r="F26" s="7" t="inlineStr">
        <is>
          <t>Row-Major vs Colum-major
Row-major คือ การนำ Array แบบการกำหนดตาม
ต่างจาก การนำ Addres แบบ Column-major ที่มีการนำ Addes แบบ
การดูและกำหนดแบบ Colum</t>
        </is>
      </c>
      <c r="G26" s="6" t="n">
        <v>0</v>
      </c>
      <c r="H26" s="19" t="n">
        <v>0</v>
      </c>
      <c r="I26" s="19" t="inlineStr">
        <is>
          <t>HIGH</t>
        </is>
      </c>
      <c r="J26" s="20" t="inlineStr">
        <is>
          <t>[สำหรับผู้สอน]
นักเรียนเขียนคำตอบไม่สมบูรณ์ ประโยคขาดหายไปในส่วนของ Row-major ('การนำ Array แบบการกำหนดตาม') และในส่วนของ Column-major เป็นเพียงการนำคำในโจทย์มาเขียนวนซ้ำ ('การนำ Addres แบบ Column-major ที่มีการนำ Addes แบบ การดูและกำหนดแบบ Colum') โดยไม่ได้อธิบายหลักการจัดเก็บหรือการเรียงลำดับข้อมูลในหน่วยความจำตามแนวนอน (แถว) หรือแนวตั้ง (คอลัมน์) ตามเกณฑ์ จึงไม่สามารถให้คะแนนได้
[สำหรับนักเรียน]
คำตอบยังไม่สมบูรณ์และขาดคำอธิบายสำคัญครับ การอธิบายความแตกต่างระหว่าง Row-major และ Column-major ควรอธิบายถึงลักษณะการจัดเก็บข้อมูลลงในหน่วยความจำ (Memory Layout) เช่น Row-major จะเรียงข้อมูลทีละแถว (Row by Row หรือแนวนอน) จนหมดแถวจึงขึ้นแถวใหม่ ส่วน Column-major จะจัดเก็บข้อมูลทีละคอลัมน์ (Column by Column หรือแนวตั้ง) ให้ครบก่อนเริ่มคอลัมน์ถัดไป</t>
        </is>
      </c>
    </row>
    <row r="27" ht="74" customHeight="1">
      <c r="A27" s="6" t="inlineStr">
        <is>
          <t>DS-022</t>
        </is>
      </c>
      <c r="B27" s="6" t="n">
        <v>1</v>
      </c>
      <c r="C27" s="6" t="inlineStr">
        <is>
          <t>text</t>
        </is>
      </c>
      <c r="D27" s="7" t="inlineStr">
        <is>
          <t>อธิบายความต่างของ Row-major vs Column-major</t>
        </is>
      </c>
      <c r="E27" s="6" t="inlineStr">
        <is>
          <t>text</t>
        </is>
      </c>
      <c r="F27" s="7" t="inlineStr">
        <is>
          <t>Row-major
0 1 2 3
4 5 6 7
8 9 10 11
a(2,1) = 9
Column-major
0 3 6 9
1 4 7 10
2 5 8 11
a(2,1) = 7
Row จะนับแถวก่อนหลัก a(แถว,หลัก)
Column จะนับหลักก่อนแถว a(หลัก,แถว)</t>
        </is>
      </c>
      <c r="G27" s="6" t="n">
        <v>2</v>
      </c>
      <c r="H27" s="19" t="n">
        <v>2</v>
      </c>
      <c r="I27" s="19" t="inlineStr">
        <is>
          <t>HIGH</t>
        </is>
      </c>
      <c r="J27" s="20" t="inlineStr">
        <is>
          <t>[สำหรับผู้สอน]
นักเรียนสามารถอธิบายความแตกต่างระหว่าง Row-major และ Column-major ได้อย่างถูกต้องผ่านการยกตัวอย่างการเรียงลำดับดัชนี/ตำแหน่งข้อมูลในเมทริกซ์ 2 มิติลงในหน่วยความจำเชิงเส้น (Linear sequence) โดยแสดงให้เห็นชัดเจนว่า Row-major เรียงตามแถวก่อน (0 1 2 3 ในแถวแรก) และ Column-major เรียงตามหลักก่อน (0 1 2 ในหลักแรก) พร้อมอธิบายสรุปว่า Row นับตามแถวก่อนหลัก และ Column นับตามหลักก่อนแถว จึงให้คะแนนเต็ม 2.00 คะแนนตามเกณฑ์
[สำหรับนักเรียน]
คำตอบถูกต้องและแสดงให้เห็นภาพได้ชัดเจนมากครับ ทั้งการยกตัวอย่างลำดับการจัดเรียงของสมาชิกในเมทริกซ์แบบ Row-major ที่เรียงไปตามแนวนอน (แถว) ทีละแถว และแบบ Column-major ที่เรียงไปตามแนวตั้ง (คอลัมน์) ทีละคอลัมน์</t>
        </is>
      </c>
    </row>
    <row r="28" ht="74" customHeight="1">
      <c r="A28" s="6" t="inlineStr">
        <is>
          <t>DS-023</t>
        </is>
      </c>
      <c r="B28" s="6" t="n">
        <v>1</v>
      </c>
      <c r="C28" s="6" t="inlineStr">
        <is>
          <t>text</t>
        </is>
      </c>
      <c r="D28" s="7" t="inlineStr">
        <is>
          <t>อธิบายความต่างของ Row-major vs Column-major</t>
        </is>
      </c>
      <c r="E28" s="6" t="inlineStr">
        <is>
          <t>text</t>
        </is>
      </c>
      <c r="F28" s="7" t="inlineStr">
        <is>
          <t>Row-major
เป็นการจัดแถวในการเก็บ Array เป็นหลัก เช่น
A[2,1] = 8
Column-major
เป็นการจัดหลัก (Column) ของอาเรย์เป็นหลัก เช่น A[2,1] = 5
4 2 6 9
0 1 5 3
2 8 11 12</t>
        </is>
      </c>
      <c r="G28" s="6" t="n">
        <v>2</v>
      </c>
      <c r="H28" s="19" t="n">
        <v>2</v>
      </c>
      <c r="I28" s="19" t="inlineStr">
        <is>
          <t>HIGH</t>
        </is>
      </c>
      <c r="J28" s="20" t="inlineStr">
        <is>
          <t>[สำหรับผู้สอน]
นักเรียนสามารถอธิบายและแสดงความเข้าใจเกี่ยวกับ Row-major (เน้นการจัดเก็บตามแถวเป็นหลัก) และ Column-major (เน้นการจัดเก็บตามคอลัมน์/หลักเป็นหลัก) ได้อย่างถูกต้อง พร้อมทั้งยกตัวอย่างเมทริกซ์และการอ้างอิงตำแหน่ง A[2,1] เพื่อเปรียบเทียบความแตกต่างระหว่างทั้งสองแบบได้อย่างชัดเจน ตรงตามเกณฑ์การให้คะแนนทั้ง 2 ส่วน
[สำหรับนักเรียน]
ยอดเยี่ยมมากครับ สามารถอธิบายแนวคิดของ Row-major (ตามแนวนอน/แถว) และ Column-major (ตามแนวตั้ง/หลัก) ได้ถูกต้อง พร้อมยกตัวอย่างตำแหน่งในตารางเพื่อแสดงความแตกต่างได้อย่างชัดเจน</t>
        </is>
      </c>
    </row>
    <row r="29" ht="74" customHeight="1">
      <c r="A29" s="6" t="inlineStr">
        <is>
          <t>DS-024</t>
        </is>
      </c>
      <c r="B29" s="6" t="n">
        <v>1</v>
      </c>
      <c r="C29" s="6" t="inlineStr">
        <is>
          <t>text</t>
        </is>
      </c>
      <c r="D29" s="7" t="inlineStr">
        <is>
          <t>อธิบายความต่างของ Row-major vs Column-major</t>
        </is>
      </c>
      <c r="E29" s="6" t="inlineStr">
        <is>
          <t>text</t>
        </is>
      </c>
      <c r="F29" s="7" t="inlineStr">
        <is>
          <t>Row major เป็นการจัดเก็บ Array แบบ แถว แต่ใช้กับ Array 1D
Column major เป็นการจัดเก็บ Array ร่วมกับ Row คือ Array 2D</t>
        </is>
      </c>
      <c r="G29" s="6" t="n">
        <v>0</v>
      </c>
      <c r="H29" s="19" t="n">
        <v>0</v>
      </c>
      <c r="I29" s="19" t="inlineStr">
        <is>
          <t>HIGH</t>
        </is>
      </c>
      <c r="J29" s="20" t="inlineStr">
        <is>
          <t>[สำหรับผู้สอน]
นักเรียนเข้าใจผิดในแนวคิดพื้นฐานอย่างสิ้นเชิง โดยระบุว่า Row-major ใช้กับ Array 1D และ Column-major ใช้กับ Array 2D ทั้งที่จริงแล้วทั้งสองเป็นรูปแบบการจัดเรียงสมาชิกของ Array หลายมิติ (เช่น 2D) ลงในหน่วยความจำเชิงเส้น (Linear memory) โดย Row-major จะเรียงข้อมูลตามแนวนอน (แถว) ทีละแถว ส่วน Column-major จะเรียงตามแนวตั้ง (คอลัมน์) ทีละคอลัมน์ คำตอบจึงไม่ผ่านเกณฑ์ทั้งสองส่วน ได้ 0 คะแนน
[สำหรับนักเรียน]
คำตอบยังไม่ถูกต้องครับ ทั้ง Row-major และ Column-major เป็นวิธีที่ใช้ในการจัดเก็บข้อมูลของ Array หลายมิติ (เช่น 2D Array) ลงในหน่วยความจำ โดยความแตกต่างคือ:
- Row-major: จะจัดเก็บข้อมูลเรียงต่อกันไปทีละแถว (Row หรือ แนวนอน)
- Column-major: จะจัดเก็บข้อมูลเรียงต่อกันไปทีละคอลัมน์ (Column หรือ แนวตั้ง)
ไม่ได้เกี่ยวกับว่าเป็น 1D หรือ 2D Array ครับ ขอให้ทบทวนเรื่อง Memory Mapping ของ Multi-dimensional Array เพิ่มเติมครับ</t>
        </is>
      </c>
    </row>
    <row r="30" ht="52" customHeight="1">
      <c r="A30" s="6" t="inlineStr">
        <is>
          <t>DS-025</t>
        </is>
      </c>
      <c r="B30" s="6" t="n">
        <v>1</v>
      </c>
      <c r="C30" s="6" t="inlineStr">
        <is>
          <t>text</t>
        </is>
      </c>
      <c r="D30" s="7" t="inlineStr">
        <is>
          <t>อธิบายความต่างของ Row-major vs Column-major</t>
        </is>
      </c>
      <c r="E30" s="6" t="inlineStr">
        <is>
          <t>text</t>
        </is>
      </c>
      <c r="F30" s="7" t="inlineStr">
        <is>
          <t>Row-major จะนับจากบนลงล่าง เช่น [0][0], [1][0]
[0][1], [1][1]
[0][2], [1][2]
Column-major จะนับจากซ้ายไปขวา เช่น [0][0], [0][1], [0][2]
[1][0], [1][1], [1][2]</t>
        </is>
      </c>
      <c r="G30" s="6" t="n">
        <v>2</v>
      </c>
      <c r="H30" s="19" t="n">
        <v>0</v>
      </c>
      <c r="I30" s="19" t="inlineStr">
        <is>
          <t>HIGH</t>
        </is>
      </c>
      <c r="J30" s="20" t="inlineStr">
        <is>
          <t>[สำหรับผู้สอน]
นักเรียนมีความเข้าใจสลับกันอย่างสิ้นเชิง โดยอธิบายว่า Row-major นับจากบนลงล่างตามแนวตั้ง (แสดงตัวอย่าง [0][0], [1][0] ซึ่งคือการไล่ตามคอลัมน์) และอธิบายว่า Column-major นับจากซ้ายไปขวาตามแนวนอน (แสดงตัวอย่าง [0][0], [0][1], [0][2] ซึ่งคือการไล่ตามแถว) คำตอบจึงผิดทั้งสองส่วนตามเกณฑ์ ให้ 0 คะแนน
[สำหรับนักเรียน]
คำตอบของคุณสลับความหมายกันครับ: 
- Row-major order คือการจัดเก็บหรือเข้าถึงข้อมูลเรียงตามแถวก่อน (แนวนอน หรือจากซ้ายไปขวา เช่น [0][0], [0][1], [0][2] แล้วจึงขึ้นแถวถัดไป [1][0], [1][1], [1][2])
- Column-major order คือการจัดเก็บหรือเข้าถึงข้อมูลเรียงตามคอลัมน์ก่อน (แนวตั้ง หรือจากบนลงล่าง เช่น [0][0], [1][0] แล้วจึงไปคอลัมน์ถัดไป [0][1], [1][1])</t>
        </is>
      </c>
    </row>
    <row r="31" ht="52" customHeight="1">
      <c r="A31" s="6" t="inlineStr">
        <is>
          <t>DS-026</t>
        </is>
      </c>
      <c r="B31" s="6" t="n">
        <v>1</v>
      </c>
      <c r="C31" s="6" t="inlineStr">
        <is>
          <t>text</t>
        </is>
      </c>
      <c r="D31" s="7" t="inlineStr">
        <is>
          <t>อธิบายความต่างของ Row-major vs Column-major</t>
        </is>
      </c>
      <c r="E31" s="6" t="inlineStr">
        <is>
          <t>text</t>
        </is>
      </c>
      <c r="F31" s="7" t="inlineStr">
        <is>
          <t>Row-major = จะเรียงแถวเป็นหลัก
ส่วน (column-major) จะเรียงคอลัมน์เป็นหลัก</t>
        </is>
      </c>
      <c r="G31" s="6" t="n">
        <v>2</v>
      </c>
      <c r="H31" s="19" t="n">
        <v>2</v>
      </c>
      <c r="I31" s="19" t="inlineStr">
        <is>
          <t>HIGH</t>
        </is>
      </c>
      <c r="J31" s="20" t="inlineStr">
        <is>
          <t>[สำหรับผู้สอน]
นักเรียนสามารถระบุความแตกต่างหลักได้อย่างถูกต้อง โดยระบุว่า Row-major เรียงแถวเป็นหลัก (ได้ 1.00 คะแนน) และ Column-major เรียงคอลัมน์เป็นหลัก (ได้ 1.00 คะแนน) สื่อความหมายถึงการจัดเก็บ/เข้าถึงข้อมูลตามแถวและคอลัมน์ได้ตรงตามเกณฑ์ รวมได้ 2.00 คะแนนเต็ม
[สำหรับนักเรียน]
ตอบได้ถูกต้องและตรงประเด็นครับ โดย Row-major เป็นการจัดเรียงหรือเข้าถึงข้อมูลในหน่วยความจำทีละแถว (แนวนอน) ส่วน Column-major จะจัดเรียงทีละคอลัมน์ (แนวตั้ง) ครับ</t>
        </is>
      </c>
    </row>
    <row r="32" ht="74" customHeight="1">
      <c r="A32" s="6" t="inlineStr">
        <is>
          <t>DS-027</t>
        </is>
      </c>
      <c r="B32" s="6" t="n">
        <v>1</v>
      </c>
      <c r="C32" s="6" t="inlineStr">
        <is>
          <t>text</t>
        </is>
      </c>
      <c r="D32" s="7" t="inlineStr">
        <is>
          <t>อธิบายความต่างของ Row-major vs Column-major</t>
        </is>
      </c>
      <c r="E32" s="6" t="inlineStr">
        <is>
          <t>text</t>
        </is>
      </c>
      <c r="F32" s="7" t="inlineStr">
        <is>
          <t>Row-major คือการนำของมีลำดับเรียงแถวก่อนหลัก ส่วน Column-major จะเรียงหลักก่อนแถว จึงทำให้มีลำดับต่างกัน</t>
        </is>
      </c>
      <c r="G32" s="6" t="n">
        <v>2</v>
      </c>
      <c r="H32" s="19" t="n">
        <v>2</v>
      </c>
      <c r="I32" s="19" t="inlineStr">
        <is>
          <t>HIGH</t>
        </is>
      </c>
      <c r="J32" s="20" t="inlineStr">
        <is>
          <t>[สำหรับผู้สอน]
นักเรียนสามารถอธิบายความแตกต่างระหว่าง Row-major และ Column-major ได้อย่างถูกต้องตามแนวคิด โดยระบุว่า Row-major เรียงตามแถวก่อนหลัก (Row ก่อน Column) และ Column-major เรียงตามหลักก่อนแถว (Column ก่อน Row) ตรงตามเกณฑ์การให้คะแนนทั้ง 2 ส่วน (ส่วนละ 1.0 คะแนน รวมเป็น 2.0 คะแนน)
[สำหรับนักเรียน]
ยอดเยี่ยมมากครับ คำตอบถูกต้องและชัดเจน โดย Row-major เป็นการจัดเก็บ/เรียงข้อมูลโดยพิจารณาแถวก่อนหลัก (เรียงข้อมูลในแถวเดียวกันให้เสร็จก่อนขึ้นแถวใหม่) ส่วน Column-major จะพิจารณาหลักก่อนแถว (เรียงข้อมูลในหลักเดียวกันให้เสร็จก่อนขึ้นหลักใหม่)</t>
        </is>
      </c>
    </row>
    <row r="33" ht="52" customHeight="1">
      <c r="A33" s="6" t="inlineStr">
        <is>
          <t>DS-028</t>
        </is>
      </c>
      <c r="B33" s="6" t="n">
        <v>1</v>
      </c>
      <c r="C33" s="6" t="inlineStr">
        <is>
          <t>text</t>
        </is>
      </c>
      <c r="D33" s="7" t="inlineStr">
        <is>
          <t>อธิบายความต่างของ Row-major vs Column-major</t>
        </is>
      </c>
      <c r="E33" s="6" t="inlineStr">
        <is>
          <t>text</t>
        </is>
      </c>
      <c r="F33" s="7" t="inlineStr">
        <is>
          <t>ROW-major จะหาค่า Arr แถวทั้งหมดก่อนถึงจะหาค่าแถวถัดไป
column จะหาค่า Arr แถวละคอลัมน์</t>
        </is>
      </c>
      <c r="G33" s="6" t="n">
        <v>1</v>
      </c>
      <c r="H33" s="19" t="n">
        <v>2</v>
      </c>
      <c r="I33" s="19" t="inlineStr">
        <is>
          <t>HIGH</t>
        </is>
      </c>
      <c r="J33" s="20" t="inlineStr">
        <is>
          <t>[สำหรับผู้สอน]
นักเรียนสามารถอธิบายความแตกต่างได้อย่างถูกต้องตามแนวคิดหลัก โดยระบุว่า Row-major ทำงานทีละแถวให้หมดก่อนขึ้นแถวถัดไป (1.0 คะแนน) และ Column-major ทำงานทีละคอลัมน์ (1.0 คะแนน) จึงได้คะแนนเต็ม 2.0 คะแนน
[สำหรับนักเรียน]
คำตอบถูกต้องและตรงประเด็นครับ แสดงให้เห็นว่าเข้าใจหลักการทำงานของ Row-major (จัดการข้อมูลให้ครบทีละแถว) และ Column-major (จัดการข้อมูลทีละคอลัมน์) ได้เป็นอย่างดี</t>
        </is>
      </c>
    </row>
    <row r="34" ht="74" customHeight="1">
      <c r="A34" s="6" t="inlineStr">
        <is>
          <t>DS-029</t>
        </is>
      </c>
      <c r="B34" s="6" t="n">
        <v>1</v>
      </c>
      <c r="C34" s="6" t="inlineStr">
        <is>
          <t>text</t>
        </is>
      </c>
      <c r="D34" s="7" t="inlineStr">
        <is>
          <t>อธิบายความต่างของ Row-major vs Column-major</t>
        </is>
      </c>
      <c r="E34" s="6" t="inlineStr">
        <is>
          <t>text</t>
        </is>
      </c>
      <c r="F34" s="7" t="inlineStr">
        <is>
          <t>Row-major
1 2 3 4
5 6 7 8
9 10 11 12
นับจากซ้ายไปขวา
Column-major
1 4 7 10
2 5 8 11
3 6 9 12
นับจากบนลงล่าง</t>
        </is>
      </c>
      <c r="G34" s="6" t="n">
        <v>2</v>
      </c>
      <c r="H34" s="19" t="n">
        <v>2</v>
      </c>
      <c r="I34" s="19" t="inlineStr">
        <is>
          <t>HIGH</t>
        </is>
      </c>
      <c r="J34" s="20" t="inlineStr">
        <is>
          <t>[สำหรับผู้สอน]
นักเรียนสามารถอธิบายความแตกต่างระหว่าง Row-major และ Column-major ได้อย่างถูกต้องผ่านการเรียงลำดับตัวเลขในเมทริกซ์และระบุทิศทางการเรียงลำดับข้อมูล โดย Row-major นับ/จัดเก็บจากซ้ายไปขวา (ทีละแถว) และ Column-major นับ/จัดเก็บจากบนลงล่าง (ทีละคอลัมน์) ตรงตามเกณฑ์การให้คะแนนทั้งสองส่วน
[สำหรับนักเรียน]
คำตอบถูกต้องครบถ้วนครับ การยกตัวอย่างลำดับตัวเลขเพื่อแสดงให้เห็นว่า Row-major ไล่ลำดับตามแนวนอน (แถว) และ Column-major ไล่ลำดับตามแนวตั้ง (คอลัมน์) สามารถสื่อสารแนวคิดได้อย่างชัดเจนมากครับ</t>
        </is>
      </c>
    </row>
    <row r="35" ht="52" customHeight="1">
      <c r="A35" s="6" t="inlineStr">
        <is>
          <t>DS-030</t>
        </is>
      </c>
      <c r="B35" s="6" t="n">
        <v>1</v>
      </c>
      <c r="C35" s="6" t="inlineStr">
        <is>
          <t>text</t>
        </is>
      </c>
      <c r="D35" s="7" t="inlineStr">
        <is>
          <t>อธิบายความต่างของ Row-major vs Column-major</t>
        </is>
      </c>
      <c r="E35" s="6" t="inlineStr">
        <is>
          <t>text</t>
        </is>
      </c>
      <c r="F35" s="7" t="inlineStr">
        <is>
          <t>Row-major จะเก็บข้อมูลในแนวนอนก่อนจากซ้ายไปขวาแล้วแถวถัดมา
Column-major จะเก็บข้อมูลในแนวตั้งก่อนจากบนลงล่างแล้วซ้ายไปขวา</t>
        </is>
      </c>
      <c r="G35" s="6" t="n">
        <v>2</v>
      </c>
      <c r="H35" s="19" t="n">
        <v>2</v>
      </c>
      <c r="I35" s="19" t="inlineStr">
        <is>
          <t>HIGH</t>
        </is>
      </c>
      <c r="J35" s="20" t="inlineStr">
        <is>
          <t>[สำหรับผู้สอน]
นักเรียนสามารถอธิบายความแตกต่างระหว่าง Row-major และ Column-major ได้ถูกต้องครบถ้วนทั้งสองประเด็น โดยระบุว่า Row-major เก็บข้อมูลในแนวนอน (แถว) ทีละแถว และ Column-major เก็บข้อมูลในแนวตั้ง (คอลัมน์) ทีละคอลัมน์ ตรงตามเกณฑ์ rubric ได้คะแนนเต็ม 2.0 คะแนน
[สำหรับนักเรียน]
ยอดเยี่ยมมากครับ คำตอบถูกต้องและชัดเจนมาก โดย Row-major จะเรียง/จัดเก็บข้อมูลตามแนวนอน (แถว) ให้ครบก่อนเริ่มแถวถัดไป และ Column-major จะจัดเก็บตามแนวตั้ง (คอลัมน์) ให้ครบก่อนเริ่มคอลัมน์ถัดไป</t>
        </is>
      </c>
    </row>
    <row r="36" ht="52" customHeight="1">
      <c r="A36" s="6" t="inlineStr">
        <is>
          <t>DS-031</t>
        </is>
      </c>
      <c r="B36" s="6" t="n">
        <v>1</v>
      </c>
      <c r="C36" s="6" t="inlineStr">
        <is>
          <t>text</t>
        </is>
      </c>
      <c r="D36" s="7" t="inlineStr">
        <is>
          <t>อธิบายความต่างของ Row-major vs Column-major</t>
        </is>
      </c>
      <c r="E36" s="6" t="inlineStr">
        <is>
          <t>text</t>
        </is>
      </c>
      <c r="F36" s="7" t="inlineStr">
        <is>
          <t>Row-major หาแนวนอน
Column-major หาแนวตั้ง
แตกต่างกันที่สูตร
Row-major = B + W[(U2-L2+1)(i-L1) + (j-L2)]
Column-major = B + W[(U1-L1+1)(j-L2) + (i-L1)]</t>
        </is>
      </c>
      <c r="G36" s="6" t="n">
        <v>2</v>
      </c>
      <c r="H36" s="19" t="n">
        <v>2</v>
      </c>
      <c r="I36" s="19" t="inlineStr">
        <is>
          <t>HIGH</t>
        </is>
      </c>
      <c r="J36" s="20" t="inlineStr">
        <is>
          <t>[สำหรับผู้สอน]
นักเรียนสามารถระบุความแตกต่างหลักได้อย่างถูกต้อง โดยระบุว่า Row-major คือแนวนอน (ตามแถว) และ Column-major คือแนวตั้ง (ตามคอลัมน์) นอกจากนี้ยังเขียนสูตรการคำนวณตำแหน่งที่อยู่ในหน่วยความจำของทั้งสองแบบประกอบได้อย่างถูกต้องตามหลักการ จึงให้คะแนนเต็ม 2.00 คะแนน (Row-major 1.00 คะแนน และ Column-major 1.00 คะแนน)
[สำหรับนักเรียน]
ยอดเยี่ยมมากครับ คุณอธิบายความแตกต่างได้อย่างถูกต้องครบถ้วน ทั้งแนวคิดหลักที่ Row-major จัดการตามแนวนอน (แถว) และ Column-major จัดการตามแนวตั้ง (คอลัมน์) รวมถึงสามารถเขียนสูตรการหาตำแหน่งแอดเดรสของทั้งสองแบบประกอบได้อย่างถูกต้อง</t>
        </is>
      </c>
    </row>
    <row r="37" ht="52" customHeight="1">
      <c r="A37" s="6" t="inlineStr">
        <is>
          <t>DS-032</t>
        </is>
      </c>
      <c r="B37" s="6" t="n">
        <v>1</v>
      </c>
      <c r="C37" s="6" t="inlineStr">
        <is>
          <t>text</t>
        </is>
      </c>
      <c r="D37" s="7" t="inlineStr">
        <is>
          <t>อธิบายความต่างของ Row-major vs Column-major</t>
        </is>
      </c>
      <c r="E37" s="6" t="inlineStr">
        <is>
          <t>text</t>
        </is>
      </c>
      <c r="F37" s="7" t="inlineStr">
        <is>
          <t>แต่ละภาษาจะใช้ Array ต่างกันออกไป เช่น
java จะใช้ Row-major
Row-major คือ A[แถว][หลัก] = A[0][1] = -7
Column-major คือ A[หลัก][แถว] = A[0][1] = 4
6 -7 15
4 1 -9
8 9 27</t>
        </is>
      </c>
      <c r="G37" s="6" t="n">
        <v>2</v>
      </c>
      <c r="H37" s="19" t="n">
        <v>2</v>
      </c>
      <c r="I37" s="19" t="inlineStr">
        <is>
          <t>HIGH</t>
        </is>
      </c>
      <c r="J37" s="20" t="inlineStr">
        <is>
          <t>[สำหรับผู้สอน]
นักเรียนอธิบายความแตกต่างผ่านการเขียน Index และยกตัวอย่างเมทริกซ์ประกอบ โดยแสดงให้เห็นว่า Row-major ใช้การอ้างอิงเป็น A[แถว][หลัก] (เข้าถึงสมาชิกในแถวก่อน) และ Column-major เป็น A[หลัก][แถว] (เข้าถึงสมาชิกในหลักก่อน) พร้อมตัวอย่างค่าตัวเลขจากเมทริกซ์ 3x3 ที่สอดคล้องอย่างชัดเจน (A[0][1] ของ Row-major ได้ -7 จากแถว 0 หลัก 1, ขณะที่ A[0][1] ของ Column-major ได้ 4 จากหลัก 0 แถว 1) ซึ่งสื่อถึงแก่นความเข้าใจของการจัดลำดับแถวและหลักได้อย่างถูกต้องตามเกณฑ์ ให้ 2.00 คะแนนเต็ม
[สำหรับนักเรียน]
คำตอบของคุณถูกต้องและเห็นภาพชัดเจนมาก มีการยกตัวอย่างเมทริกซ์และแสดงดัชนี A[แถว][หลัก] สำหรับ Row-major และ A[หลัก][แถว] สำหรับ Column-major ได้อย่างถูกต้อง หากต้องการให้สมบูรณ์ยิ่งขึ้น สามารถเสริมคำอธิบายว่าทั้งสองแบบส่งผลต่อ 'ลำดับการจัดเรียงข้อมูลต่อเนื่องในหน่วยความจำ (Memory Layout)' อย่างไรเพิ่มเติมได้ครับ</t>
        </is>
      </c>
    </row>
    <row r="38" ht="74" customHeight="1">
      <c r="A38" s="6" t="inlineStr">
        <is>
          <t>DS-033</t>
        </is>
      </c>
      <c r="B38" s="6" t="n">
        <v>1</v>
      </c>
      <c r="C38" s="6" t="inlineStr">
        <is>
          <t>text</t>
        </is>
      </c>
      <c r="D38" s="7" t="inlineStr">
        <is>
          <t>อธิบายความต่างของ Row-major vs Column-major</t>
        </is>
      </c>
      <c r="E38" s="6" t="inlineStr">
        <is>
          <t>text</t>
        </is>
      </c>
      <c r="F38" s="7" t="inlineStr">
        <is>
          <t>Row-major คือการดูแถวก่อนค่อยดูคอลัมน์ หรือแถวคือแกนหลัก คอลัมน์คือแกนรอง (แถว,คอลัมน์)
Column-major คือการดูคอลัมน์ก่อนค่อยดูแถว หรือคอลัมน์คือแกนหลัก แถวคือแกนรอง (คอลัมน์,แถว)</t>
        </is>
      </c>
      <c r="G38" s="6" t="n">
        <v>2</v>
      </c>
      <c r="H38" s="19" t="n">
        <v>2</v>
      </c>
      <c r="I38" s="19" t="inlineStr">
        <is>
          <t>HIGH</t>
        </is>
      </c>
      <c r="J38" s="20" t="inlineStr">
        <is>
          <t>[สำหรับผู้สอน]
นักเรียนสามารถอธิบายความแตกต่างได้อย่างถูกต้องตามหลักการ โดยระบุว่า Row-major ใช้แถวเป็นแกนหลักก่อนคอลัมน์ และ Column-major ใช้คอลัมน์เป็นแกนหลักก่อนแถว ซึ่งตรงกับแนวคิดการจัดลำดับตามแถวและตามคอลัมน์ จึงให้คะแนนเต็ม 2.0 คะแนน (Row-major 1.0 คะแนน และ Column-major 1.0 คะแนน)
[สำหรับนักเรียน]
คำตอบถูกต้องและชัดเจนมากครับ คุณเข้าใจแนวคิดว่า Row-major ให้ความสำคัญกับแถวก่อน (เรียงตามแนวนอนทีละแถว) และ Column-major ให้ความสำคัญกับคอลัมน์ก่อน (เรียงตามแนวตั้งทีละคอลัมน์) ทำได้ดีมากครับ</t>
        </is>
      </c>
    </row>
    <row r="39" ht="52" customHeight="1">
      <c r="A39" s="6" t="inlineStr">
        <is>
          <t>DS-034</t>
        </is>
      </c>
      <c r="B39" s="6" t="n">
        <v>1</v>
      </c>
      <c r="C39" s="6" t="inlineStr">
        <is>
          <t>text</t>
        </is>
      </c>
      <c r="D39" s="7" t="inlineStr">
        <is>
          <t>อธิบายความต่างของ Row-major vs Column-major</t>
        </is>
      </c>
      <c r="E39" s="6" t="inlineStr">
        <is>
          <t>text</t>
        </is>
      </c>
      <c r="F39" s="7" t="inlineStr">
        <is>
          <t>row-major =&gt; บังคับอาเรย์เป็นแถวในแนวนอน
วิธีการคำนวณคือ B + W[(U2-L2+1)(I-L1) + (J-L2)]
column-major =&gt; บังคับอาเรย์เป็นแนวตั้ง
วิธีการคำนวณคือ B + W[(U1-L1+1)(J-L2) + (I-L1)]
ซึ่งต่างกันที่การเก็บข้อมูลหรือเรียงของสูตรในการคำนวณค่าดัชนี
(U1-L1+1)(I-L1)   (U2-L2+1)(J-L2)
↓ Col                 ↓ ROW</t>
        </is>
      </c>
      <c r="G39" s="6" t="n">
        <v>2</v>
      </c>
      <c r="H39" s="19" t="n">
        <v>2</v>
      </c>
      <c r="I39" s="19" t="inlineStr">
        <is>
          <t>HIGH</t>
        </is>
      </c>
      <c r="J39" s="20" t="inlineStr">
        <is>
          <t>[สำหรับผู้สอน]
นักเรียนสามารถอธิบายความแตกต่างระหว่าง Row-major และ Column-major ได้อย่างถูกต้องครบถ้วน โดยระบุชัดเจนว่า Row-major จัดเก็บตามแถวในแนวนอน และ Column-major จัดเก็บตามแนวตั้ง (คอลัมน์) พร้อมแสดงสูตรการคำนวณตำแหน่งแอดเดรสในหน่วยความจำของทั้งสองแบบประกอบ จึงได้คะแนนเต็มทั้งสองส่วน (ส่วนละ 1.0 คะแนน รวม 2.0 คะแนน)
[สำหรับนักเรียน]
คำตอบถูกต้องและครบถ้วนมากครับ ทั้งการระบุหลักการว่า Row-major จัดเก็บเรียงตามแนวนอน (แถว) และ Column-major จัดเก็บเรียงตามแนวตั้ง (คอลัมน์) รวมถึงการแสดงสูตรการคำนวณตำแหน่งในหน่วยความจำที่สอดคล้องกันอย่างถูกต้อง ยอดเยี่ยมครับ</t>
        </is>
      </c>
    </row>
    <row r="40" ht="74" customHeight="1">
      <c r="A40" s="6" t="inlineStr">
        <is>
          <t>DS-035</t>
        </is>
      </c>
      <c r="B40" s="6" t="n">
        <v>2</v>
      </c>
      <c r="C40" s="6" t="inlineStr">
        <is>
          <t>text</t>
        </is>
      </c>
      <c r="D40" s="7" t="inlineStr">
        <is>
          <t>อธิบายว่าทำไม O(n log n) เหมาะกับข้อมูลใหญ่กว่า O(n^2) และยกตัวอย่าง Algorithm</t>
        </is>
      </c>
      <c r="E40" s="6" t="inlineStr">
        <is>
          <t>text</t>
        </is>
      </c>
      <c r="F40" s="7" t="inlineStr">
        <is>
          <t>เพราะว่า O(n^2) คือการยกกำลัง ทำให้พื้นที่ข้อมูลให้มันเยอะขึ้น มันจะทำให้ช้ามากขึ้น ส่วน O(n log n) จะใช้พื้นที่น้อยและเร็วกว่า ตัวอย่างเช่น Merge Sort</t>
        </is>
      </c>
      <c r="G40" s="6" t="n">
        <v>2</v>
      </c>
      <c r="H40" s="9" t="n">
        <v>1.5</v>
      </c>
      <c r="I40" s="9" t="n">
        <v>-0.5</v>
      </c>
      <c r="J40" s="7" t="inlineStr">
        <is>
          <t>[สำหรับผู้สอน] นิสิตระบุชื่ออัลกอริทึมได้ถูกต้อง (Merge Sort) และระบุว่า O(n log n) เร็วกว่า O(n^2) แต่มีจุดคลาดเคลื่อนทางเทคนิคที่ระบุว่า O(n^2) ทำให้ 'พื้นที่ข้อมูลเยอะขึ้น' (สับสนระหว่าง Time Complexity กับ Space Complexity หรือเข้าใจว่าขนาดข้อมูลขยายตัว) ตามเกณฑ์ระดับ 1.50 คะแนน: 'มีชื่อ Algorithm แต่คำอธิบายสั้นกระชับมาก หรือมีจุดคลาดเคลื่อนทางเทคนิคเล็กน้อย' จึงได้ 1.50 คะแนน
[สำหรับนักเรียน] คำตอบของคุณมีการระบุตัวอย่างอัลกอริทึมได้ถูกต้องคือ Merge Sort และเข้าใจว่า O(n log n) ทำงานได้เร็วกว่า O(n^2) อย่างไรก็ตาม ควรระวังการอธิบายเรื่อง 'พื้นที่ข้อมูลเยอะขึ้น' เนื่องจาก Big O ในที่นี้หมายถึง Time Complexity หรือจำนวนรอบ/เวลาในการประมวลผลที่เพิ่มขึ้นตามขนาดข้อมูล (n) ไม่ใช่การขยายพื้นที่ของตัวข้อมูลครับ</t>
        </is>
      </c>
    </row>
    <row r="41" ht="74" customHeight="1">
      <c r="A41" s="6" t="inlineStr">
        <is>
          <t>DS-036</t>
        </is>
      </c>
      <c r="B41" s="6" t="n">
        <v>2</v>
      </c>
      <c r="C41" s="6" t="inlineStr">
        <is>
          <t>text</t>
        </is>
      </c>
      <c r="D41" s="7" t="inlineStr">
        <is>
          <t>อธิบายว่าทำไม O(n log n) เหมาะกับข้อมูลใหญ่กว่า O(n^2) และยกตัวอย่าง Algorithm</t>
        </is>
      </c>
      <c r="E41" s="6" t="inlineStr">
        <is>
          <t>text</t>
        </is>
      </c>
      <c r="F41" s="7" t="inlineStr">
        <is>
          <t>เพราะว่า ข้อมูลมีขนาดใหญ่ถ้าใช้เวลานาน การที่จะลดพื้นที่ย่อมประหยัดเวลาการทำงานไปด้วย ดังนั้น O(n log n) จึงทำให้เร็วกว่า อัลกอริทึม Merge</t>
        </is>
      </c>
      <c r="G41" s="6" t="n">
        <v>2</v>
      </c>
      <c r="H41" s="9" t="n">
        <v>1</v>
      </c>
      <c r="I41" s="9" t="n">
        <v>-1</v>
      </c>
      <c r="J41" s="7" t="inlineStr">
        <is>
          <t>[สำหรับผู้สอน] นักเรียนระบุชื่ออัลกอริทึมได้คือ 'Merge' (Merge Sort) และระบุว่า O(n log n) เร็วกว่า แต่เหตุผลที่ให้นั้นคลาดเคลื่อนเชิงแนวคิด (สับสนระหว่างการลดพื้นที่กับการประหยัดเวลา/Time Complexity) และไม่ได้อธิบายถึงอัตราการเติบโต (Growth rate) หรือจำนวนรอบการทำงาน/ลูปที่ลดลง เข้าเกณฑ์ระดับพื้นฐาน (1.00 คะแนน) คือมีชื่อ Algorithm แต่คำอธิบายเหตุผลยังไม่ถูกต้องชัดเจนตามหลักการ
[สำหรับนักเรียน] คุณระบุตัวอย่างอัลกอริทึมได้ถูกต้องบางส่วน (Merge Sort) แต่เหตุผลทางเทคนิคยังไม่ถูกต้องครับ การที่ O(n log n) ดีกว่า O(n^2) เป็นเรื่องของอัตราการเติบโตของเวลาประมวลผล (Time Complexity) ที่เพิ่มขึ้นช้ากว่ามากเมื่อข้อมูล n มีขนาดใหญ่ ไม่ได้เกิดจากการ 'ลดพื้นที่' แล้วทำให้ประหยัดเวลา ควรเน้นอธิบายเรื่องจำนวนรอบการทำงานหรือขั้นตอนวิธีแบบแบ่งแยกและเอาชนะ (Divide and Conquer) ครับ</t>
        </is>
      </c>
    </row>
    <row r="42" ht="52" customHeight="1">
      <c r="A42" s="6" t="inlineStr">
        <is>
          <t>DS-037</t>
        </is>
      </c>
      <c r="B42" s="6" t="n">
        <v>2</v>
      </c>
      <c r="C42" s="6" t="inlineStr">
        <is>
          <t>text</t>
        </is>
      </c>
      <c r="D42" s="7" t="inlineStr">
        <is>
          <t>อธิบายว่าทำไม O(n log n) เหมาะกับข้อมูลใหญ่กว่า O(n^2) และยกตัวอย่าง Algorithm</t>
        </is>
      </c>
      <c r="E42" s="6" t="inlineStr">
        <is>
          <t>text</t>
        </is>
      </c>
      <c r="F42" s="7" t="inlineStr">
        <is>
          <t>เพราะ O(n^2) มีการทำงานมากกว่า O(n log n) ส่วนตัว O(n log n) คือ merge sort</t>
        </is>
      </c>
      <c r="G42" s="6" t="n">
        <v>2</v>
      </c>
      <c r="H42" s="9" t="n">
        <v>2</v>
      </c>
      <c r="I42" s="9" t="n">
        <v>0</v>
      </c>
      <c r="J42" s="7" t="inlineStr">
        <is>
          <t>[สำหรับผู้สอน] นักเรียนตอบได้ครบถ้วนตามเกณฑ์การให้คะแนนระดับ 2.00 คะแนน โดยอธิบายเหตุผลเปรียบเทียบว่า O(n^2) มีการทำงานมากกว่า O(n log n) (แสดงถึงการเข้าใจว่า O(n log n) มีจำนวนขั้นตอนการทำงานน้อยกว่า/เร็วกว่า) และระบุตัวอย่างอัลกอริทึมที่ถูกต้อง คือ Merge Sort ตามแนวนโยบายที่เน้นประเมินความเข้าใจเชิงมโนทัศน์ (Conceptual Understanding)
[สำหรับนักเรียน] คำตอบถูกต้องและตรงประเด็นครับ มีการระบุชัดเจนว่า O(n log n) ใช้ขั้นตอนการทำงานน้อยกว่า O(n^2) และยกตัวอย่าง Merge Sort ได้อย่างถูกต้อง หากต้องการให้คำตอบสมบูรณ์ยิ่งขึ้น สามารถเสริมคำอธิบายเกี่ยวกับอัตราการเติบโต (Growth rate) ของเวลาเมื่อข้อมูลขนาด n มีค่ามากๆ ได้ครับ</t>
        </is>
      </c>
    </row>
    <row r="43" ht="74" customHeight="1">
      <c r="A43" s="6" t="inlineStr">
        <is>
          <t>DS-038</t>
        </is>
      </c>
      <c r="B43" s="6" t="n">
        <v>2</v>
      </c>
      <c r="C43" s="6" t="inlineStr">
        <is>
          <t>text</t>
        </is>
      </c>
      <c r="D43" s="7" t="inlineStr">
        <is>
          <t>อธิบายว่าทำไม O(n log n) เหมาะกับข้อมูลใหญ่กว่า O(n^2) และยกตัวอย่าง Algorithm</t>
        </is>
      </c>
      <c r="E43" s="6" t="inlineStr">
        <is>
          <t>text</t>
        </is>
      </c>
      <c r="F43" s="7" t="inlineStr">
        <is>
          <t>เพราะ n^2 มันมีข้อมูลซ้อน 2 loop จึงทำให้ทำงานช้า เช่น 10^2 ก็ 100 รอบ ถ้า 100^2 = 10000 รอบ ส่วน n log n ทำงานได้เร็วกว่า Algorithm =&gt; Merge (n log n)</t>
        </is>
      </c>
      <c r="G43" s="6" t="n">
        <v>2</v>
      </c>
      <c r="H43" s="9" t="n">
        <v>2</v>
      </c>
      <c r="I43" s="9" t="n">
        <v>0</v>
      </c>
      <c r="J43" s="7" t="inlineStr">
        <is>
          <t>[สำหรับผู้สอน] ผู้เรียนระบุชื่อ Algorithm ถูกต้อง (Merge Sort หรือเขียนว่า Merge) และอธิบายเปรียบเทียบว่า O(n log n) เร็วกว่า O(n^2) เมื่อข้อมูลมีขนาดใหญ่ โดยชี้ให้เห็นกลไกของ n^2 ว่าเป็นลูปซ้อนกัน (nested loops) พร้อมยกตัวอย่างจำนวนรอบที่เพิ่มขึ้นอย่างรวดเร็ว (10^2 = 100, 100^2 = 10000) ครบถ้วนตามเกณฑ์ระดับ 2.00 คะแนน
[สำหรับนักเรียน] คำตอบยอดเยี่ยมและถูกต้องครับ คุณเข้าใจความแตกต่างของอัตราการเติบโตระหว่าง O(n^2) ที่เกิดจากการทำงานซ้อนลูปทำให้จำนวนรอบเพิ่มขึ้นอย่างมหาศาลเมื่อข้อมูลขยายใหญ่ขึ้น เทียบกับ O(n log n) ที่ทำงานได้เร็วกว่า พร้อมทั้งระบุตัวอย่างอัลกอริทึมอย่าง Merge Sort ได้ถูกต้องชัดเจน</t>
        </is>
      </c>
    </row>
    <row r="44" ht="74" customHeight="1">
      <c r="A44" s="6" t="inlineStr">
        <is>
          <t>DS-039</t>
        </is>
      </c>
      <c r="B44" s="6" t="n">
        <v>2</v>
      </c>
      <c r="C44" s="6" t="inlineStr">
        <is>
          <t>text</t>
        </is>
      </c>
      <c r="D44" s="7" t="inlineStr">
        <is>
          <t>อธิบายว่าทำไม O(n log n) เหมาะกับข้อมูลใหญ่กว่า O(n^2) และยกตัวอย่าง Algorithm</t>
        </is>
      </c>
      <c r="E44" s="6" t="inlineStr">
        <is>
          <t>text</t>
        </is>
      </c>
      <c r="F44" s="7" t="inlineStr">
        <is>
          <t>เพราะสามารถทำ Recursive Method (การเรียกตัวเอง) ได้ ทำให้มีประสิทธิภาพที่ดีมากกว่า เนื่องจาก คอมพิวเตอร์มีหลาย core แต่ละ core จะช่วยกันคำนวณ ยกตัวอย่าง Algorithm - Quick Sort</t>
        </is>
      </c>
      <c r="G44" s="6" t="n">
        <v>2</v>
      </c>
      <c r="H44" s="9" t="n">
        <v>1.5</v>
      </c>
      <c r="I44" s="9" t="n">
        <v>-0.5</v>
      </c>
      <c r="J44" s="7" t="inlineStr">
        <is>
          <t>[สำหรับผู้สอน] ผู้เรียนระบุตัวอย่างอัลกอริทึมได้ถูกต้อง (Quick Sort) และมีการอธิบายกลไก Recursive แต่มีจุดคลาดเคลื่อนทางเทคนิค โดยอธิบายว่าเร็วกว่าเพราะคอมพิวเตอร์มีหลาย core ช่วยกันคำนวณ ซึ่ง O(n log n) เป็นคุณสมบัติเชิงทฤษฎีของการเติบโตของจำนวนขั้นตอนการทำงาน (Growth Rate) ไม่ได้ขึ้นกับ Multi-core processing ตามเกณฑ์ 'มีชื่อ Algorithm แต่คำอธิบายสั้นกระชับมาก หรือมีจุดคลาดเคลื่อนทางเทคนิคเล็กน้อย' จึงได้ 1.50 คะแนน
[สำหรับนักเรียน] คุณระบุตัวอย่าง Algorithm ได้ถูกต้องคือ Quick Sort อย่างไรก็ตาม ความหมายของ O(n log n) ที่เหมาะกับข้อมูลขนาดใหญ่กว่า O(n^2) นั้น เป็นเพราะอัตราการเติบโตของเวลา/จำนวนรอบในการประมวลผล (Growth Rate) ต่ำกว่ามากเมื่อ n เพิ่มขึ้น ไม่ใช่เพราะการทำงานแบบ Multi-core</t>
        </is>
      </c>
    </row>
    <row r="45" ht="52" customHeight="1">
      <c r="A45" s="6" t="inlineStr">
        <is>
          <t>DS-040</t>
        </is>
      </c>
      <c r="B45" s="6" t="n">
        <v>2</v>
      </c>
      <c r="C45" s="6" t="inlineStr">
        <is>
          <t>text</t>
        </is>
      </c>
      <c r="D45" s="7" t="inlineStr">
        <is>
          <t>อธิบายว่าทำไม O(n log n) เหมาะกับข้อมูลใหญ่กว่า O(n^2) และยกตัวอย่าง Algorithm</t>
        </is>
      </c>
      <c r="E45" s="6" t="inlineStr">
        <is>
          <t>text</t>
        </is>
      </c>
      <c r="F45" s="7" t="inlineStr">
        <is>
          <t>เพราะ O(n log n) ตัดข้อมูลให้เล็กลงก่อนแล้วค่อยใช้ loop จะทำให้ประหยัดเวลาการ loop ให้เร็วขึ้น</t>
        </is>
      </c>
      <c r="G45" s="6" t="n">
        <v>1</v>
      </c>
      <c r="H45" s="9" t="n">
        <v>1</v>
      </c>
      <c r="I45" s="9" t="n">
        <v>0</v>
      </c>
      <c r="J45" s="7" t="inlineStr">
        <is>
          <t>[สำหรับผู้สอน] นักเรียนอธิบายแนวคิดเบื้องต้นเรื่องการลดขนาดข้อมูลและการลดรอบลูป (คล้ายแนวคิด Divide and Conquer) แต่ไม่ได้ระบุตัวอย่าง Algorithm ตามที่โจทย์กำหนด จึงจัดอยู่ในกลุ่ม 'ตอบเฉพาะเหตุผลว่าเร็วกว่า/ดีกว่า... แต่ไม่มีชื่อ Algorithm ประกอบ' หรือ 'ตอบสั้นมาก แต่พอมีสาระสำคัญที่ถูกทางบางส่วน' ได้คะแนน 1.00 ตามเกณฑ์
[สำหรับนักเรียน] คุณอธิบายแนวคิดเรื่องการแบ่งย่อยข้อมูลเพื่อลดรอบการทำงานได้เข้าใจพอสมควร แต่ยังขาดการยกตัวอย่าง Algorithm (เช่น Merge Sort, Quick Sort สำหรับ O(n log n) หรือ Bubble Sort สำหรับ O(n^2)) ตามที่โจทย์กำหนด ควรอ่านโจทย์ให้ครบถ้วนทุกประเด็นครับ</t>
        </is>
      </c>
    </row>
    <row r="46" ht="52" customHeight="1">
      <c r="A46" s="6" t="inlineStr">
        <is>
          <t>DS-041</t>
        </is>
      </c>
      <c r="B46" s="6" t="n">
        <v>2</v>
      </c>
      <c r="C46" s="6" t="inlineStr">
        <is>
          <t>text</t>
        </is>
      </c>
      <c r="D46" s="7" t="inlineStr">
        <is>
          <t>อธิบายว่าทำไม O(n log n) เหมาะกับข้อมูลใหญ่กว่า O(n^2) และยกตัวอย่าง Algorithm</t>
        </is>
      </c>
      <c r="E46" s="6" t="inlineStr">
        <is>
          <t>text</t>
        </is>
      </c>
      <c r="F46" s="7" t="inlineStr">
        <is>
          <t>เพราะ ทำงานได้รวดเร็วกว่า Algorithm Quick Sort</t>
        </is>
      </c>
      <c r="G46" s="6" t="n">
        <v>1.5</v>
      </c>
      <c r="H46" s="9" t="n">
        <v>1</v>
      </c>
      <c r="I46" s="9" t="n">
        <v>-0.5</v>
      </c>
      <c r="J46" s="7" t="inlineStr">
        <is>
          <t>[สำหรับผู้สอน] นักเรียนระบุชื่อ Algorithm ถูกต้อง (Quick Sort) แต่ในส่วนเหตุผลเขียนเพียงว่า 'ทำงานได้รวดเร็วกว่า' โดยเป็นการทวนความหมายคร่าวๆ โดยไม่อธิบายเหตุผลรองรับเชิงลึกเรื่องอัตราการเติบโต (Growth rate) หรือจำนวนรอบการทำงานเมื่อขนาดข้อมูล n เพิ่มขึ้น เข้าเกณฑ์ระดับพื้นฐาน (1.00 คะแนน: 'มีชื่อ Algorithm แต่เขียนเพียงทวนคำถามซ้ำว่ามีประสิทธิภาพดีกว่าโดยไม่อธิบายเหตุผลรองรับ')
[สำหรับนักเรียน] นักเรียนยกตัวอย่าง Algorithm ได้ถูกต้อง (Quick Sort) แต่ควรเพิ่มคำอธิบายว่าทำไม O(n log n) ถึงทำงานได้เร็วกว่า O(n^2) เมื่อข้อมูลมีขนาดใหญ่ เช่น อธิบายเรื่องอัตราการเติบโตของฟังก์ชัน (Growth rate) หรือจำนวนรอบการประมวลผลที่น้อยกว่าอย่างเห็นได้ชัดเมื่อ n มีค่ามากครับ</t>
        </is>
      </c>
    </row>
    <row r="47" ht="96" customHeight="1">
      <c r="A47" s="6" t="inlineStr">
        <is>
          <t>DS-042</t>
        </is>
      </c>
      <c r="B47" s="6" t="n">
        <v>2</v>
      </c>
      <c r="C47" s="6" t="inlineStr">
        <is>
          <t>text</t>
        </is>
      </c>
      <c r="D47" s="7" t="inlineStr">
        <is>
          <t>อธิบายว่าทำไม O(n log n) เหมาะกับข้อมูลใหญ่กว่า O(n^2) และยกตัวอย่าง Algorithm</t>
        </is>
      </c>
      <c r="E47" s="6" t="inlineStr">
        <is>
          <t>text</t>
        </is>
      </c>
      <c r="F47" s="7" t="inlineStr">
        <is>
          <t>สมมติว่า n = 10
O(10 log 10) = O(10)
O(10^2) = O(100) ซึ่ง O(10) น้อยกว่า
เช่น Quick Sort</t>
        </is>
      </c>
      <c r="G47" s="6" t="n">
        <v>1</v>
      </c>
      <c r="H47" s="9" t="n">
        <v>1.5</v>
      </c>
      <c r="I47" s="9" t="n">
        <v>0.5</v>
      </c>
      <c r="J47" s="7" t="inlineStr">
        <is>
          <t>[สำหรับผู้สอน] นักเรียนมีการยกตัวอย่างอัลกอริทึม (Quick Sort) และพยายามเปรียบเทียบเชิงตัวเลขให้เห็นว่า O(n log n) มีค่าน้อยกว่า O(n^2) แต่มีจุดคลาดเคลื่อนทางคณิตศาสตร์/เทคนิคเล็กน้อยในการคำนวณ โดยคิดว่า 10 log 10 = 10 (ซึ่งจริงๆ หากเป็น log ฐาน 10 จะได้ 10(1) = 10 แต่ในวิทยาการคอมพิวเตอร์มักใช้ฐาน 2 ทำให้ได้ประมาณ 33.2 และเขียน Big-O ซ้อนตัวเลข O(10) ไม่ตรงหลักการ) รวมถึงคำอธิบายเหตุผลสั้นมากและเน้นการแทนค่าตัวเลขขนาดเล็ก (n=10) แทนที่จะอธิบายพฤติกรรมเมื่อข้อมูลมีขนาดใหญ่ จึงเข้าเกณฑ์ระดับ 1.50 คะแนน (มีชื่อ Algorithm แต่คำอธิบายสั้นกระชับมาก หรือมีจุดคลาดเคลื่อนทางเทคนิคเล็กน้อย)
[สำหรับนักเรียน] คำตอบของคุณมีการยกตัวอย่างอัลกอริทึมที่ถูกต้องคือ Quick Sort และเห็นภาพว่าจำนวนรอบการทำงานของ O(n log n) น้อยกว่า O(n^2) อย่างไรก็ตาม ควรระวังการอธิบายเชิงทฤษฎี: 1) ในวิทยาการคอมพิวเตอร์ log n มักหมายถึง log ฐาน 2 ไม่ใช่ฐาน 10 2) สัญลักษณ์ Big-O ใช้วัดฟังก์ชันอัตราการเติบโต ไม่ควรเขียนซ้อนเป็น O(ตัวเลขผลลัพธ์) เช่น O(10) หรือ O(100) 3) ควรอธิบายเพิ่มเติมด้วยว่าเมื่อ n มีขนาดใหญ่ขึ้นเรื่อยๆ อัตราการเติบโตของ n^2 จะเพิ่มขึ้นอย่างรวดเร็วกว่า n log n มาก</t>
        </is>
      </c>
    </row>
    <row r="48" ht="74" customHeight="1">
      <c r="A48" s="6" t="inlineStr">
        <is>
          <t>DS-043</t>
        </is>
      </c>
      <c r="B48" s="6" t="n">
        <v>2</v>
      </c>
      <c r="C48" s="6" t="inlineStr">
        <is>
          <t>text</t>
        </is>
      </c>
      <c r="D48" s="7" t="inlineStr">
        <is>
          <t>อธิบายว่าทำไม O(n log n) เหมาะกับข้อมูลใหญ่กว่า O(n^2) และยกตัวอย่าง Algorithm</t>
        </is>
      </c>
      <c r="E48" s="6" t="inlineStr">
        <is>
          <t>text</t>
        </is>
      </c>
      <c r="F48" s="7" t="inlineStr">
        <is>
          <t>เพราะมีความซับซ้อนและประสิทธิภาพการทำงานดีกว่า O(n^2) จึงเหมาะแก่ข้อมูลใหญ่กว่า O(n^2) สรุปสั้นๆ คือคำนวณได้ละเอียดกว่า</t>
        </is>
      </c>
      <c r="G48" s="6" t="n">
        <v>1.5</v>
      </c>
      <c r="H48" s="9" t="n">
        <v>0</v>
      </c>
      <c r="I48" s="9" t="n">
        <v>-1.5</v>
      </c>
      <c r="J48" s="7" t="inlineStr">
        <is>
          <t>[สำหรับผู้สอน] นักเรียนไม่ได้ระบุชื่อ Algorithm ตามที่โจทย์สั่ง และคำอธิบายระบุว่า 'มีความซับซ้อนและประสิทธิภาพการทำงานดีกว่า' และ 'สรุปสั้นๆ คือคำนวณได้ละเอียดกว่า' ซึ่งเป็นความเข้าใจที่ผิดหลักการทางวิทยาการคอมพิวเตอร์อย่างสิ้นเชิง (Big-O แสดงถึงความซับซ้อนเชิงเวลาที่ต่ำกว่า/เติบโตช้ากว่า ไม่ใช่คำนวณละเอียดกว่า) จึงไม่ผ่านเกณฑ์การให้คะแนนและได้ 0.00 คะแนน
[สำหรับนักเรียน] คำตอบยังไม่ถูกต้องตามหลักการวิเคราะห์ความซับซ้อนของอัลกอริทึมครับ O(n log n) ดีกว่า O(n^2) เพราะมี 'อัตราการเติบโตของเวลาทำงาน (Growth rate) ที่ช้ากว่า' หรือใช้จำนวนรอบการประมวลผลน้อยกว่ามากเมื่อข้อมูล n มีขนาดใหญ่ ไม่ใช่เพราะคำนวณได้ละเอียดกว่า นอกจากนี้ยังขาดการยกตัวอย่าง Algorithm เช่น Merge Sort, Quick Sort (สำหรับ O(n log n)) หรือ Bubble Sort (สำหรับ O(n^2))</t>
        </is>
      </c>
    </row>
    <row r="49" ht="140" customHeight="1">
      <c r="A49" s="6" t="inlineStr">
        <is>
          <t>DS-044</t>
        </is>
      </c>
      <c r="B49" s="6" t="n">
        <v>2</v>
      </c>
      <c r="C49" s="6" t="inlineStr">
        <is>
          <t>text</t>
        </is>
      </c>
      <c r="D49" s="7" t="inlineStr">
        <is>
          <t>อธิบายว่าทำไม O(n log n) เหมาะกับข้อมูลใหญ่กว่า O(n^2) และยกตัวอย่าง Algorithm</t>
        </is>
      </c>
      <c r="E49" s="6" t="inlineStr">
        <is>
          <t>text</t>
        </is>
      </c>
      <c r="F49" s="7" t="inlineStr">
        <is>
          <t>เพราะข้อมูลยิ่งใหญ่ การใช้เวลาก็ยิ่งเยอะ เช่น n^2 ถ้าข้อมูลมีแค่ 10 ฟังก์ชัน 10^2 คงใช้เวลาไม่เยอะ แค่ 100 หน่วยเวลา แต่ถ้าเป็นข้อมูล 1 ล้าน แทน 10 เวลาจะเป็น 1 ล้าน^2 ซึ่งมันเยอะมาก การใช้ n log n จึงเหมาะกว่าเพราะหากข้อมูลเยอะจะประหยัดเวลาได้ดีกว่า เช่น Quick sort ซึ่งเป็น Algorithm ที่เร็วที่สุดในตอนนี้</t>
        </is>
      </c>
      <c r="G49" s="6" t="n">
        <v>2</v>
      </c>
      <c r="H49" s="9" t="n">
        <v>2</v>
      </c>
      <c r="I49" s="9" t="n">
        <v>0</v>
      </c>
      <c r="J49" s="7" t="inlineStr">
        <is>
          <t>[สำหรับผู้สอน] นักเรียนอธิบายเหตุผลเปรียบเทียบความแตกต่างด้านการเติบโตของเวลาประมวลผลได้อย่างชัดเจน โดยยกตัวอย่างเชิงตัวเลขเมื่อขนาดข้อมูลเพิ่มขึ้นจาก 10 เป็น 1 ล้าน และสรุปได้ว่า O(n log n) ช่วยประหยัดเวลาได้ดีกว่าเมื่อข้อมูลมีขนาดใหญ่ พร้อมทั้งยกตัวอย่าง Algorithm คือ Quick sort ได้อย่างถูกต้อง ตรงตามเกณฑ์คะแนนเต็ม 2.00 คะแนน แม้จะมีข้อความเสริมที่เกินจริงไปบ้าง (Quick sort เร็วที่สุดในตอนนี้) แต่ตามแนวนโยบายของผู้สอนที่เน้นมโนทัศน์หลักถือว่าครบถ้วนสมบูรณ์
[สำหรับนักเรียน] คำตอบดีมากครับ สามารถอธิบายแนวคิดเรื่องอัตราการเติบโตของเวลา (Growth rate) ผ่านการยกตัวอย่างตัวเลขเมื่อ n มีขนาดใหญ่ขึ้นได้อย่างเห็นภาพชัดเจน และยกตัวอย่าง Quick Sort ได้ถูกต้อง ข้อสังเกตเพิ่มเติมเล็กน้อย: แม้ Quick Sort จะมีประสิทธิภาพดีมากในทางปฏิบัติ (Average case คือ O(n log n)) แต่มันไม่ใช่ Algorithm ที่เร็วที่สุดในทุกกรณีเสมอไป (ขึ้นอยู่กับรูปแบบข้อมูลและ Worst case อาจเป็น O(n^2))) อย่างไรก็ตามในภาพรวมแนวคิดถูกต้องครบถ้วนครับ</t>
        </is>
      </c>
    </row>
    <row r="50" ht="52" customHeight="1">
      <c r="A50" s="6" t="inlineStr">
        <is>
          <t>DS-045</t>
        </is>
      </c>
      <c r="B50" s="6" t="n">
        <v>2</v>
      </c>
      <c r="C50" s="6" t="inlineStr">
        <is>
          <t>text</t>
        </is>
      </c>
      <c r="D50" s="7" t="inlineStr">
        <is>
          <t>อธิบายว่าทำไม O(n log n) เหมาะกับข้อมูลใหญ่กว่า O(n^2) และยกตัวอย่าง Algorithm</t>
        </is>
      </c>
      <c r="E50" s="6" t="inlineStr">
        <is>
          <t>text</t>
        </is>
      </c>
      <c r="F50" s="7" t="inlineStr">
        <is>
          <t>เพราะ O(n log n) ทำงานกับ Loop ที่ถัวและมีประสิทธิภาพมากกว่า O(n^2)</t>
        </is>
      </c>
      <c r="G50" s="6" t="n">
        <v>1</v>
      </c>
      <c r="H50" s="9" t="n">
        <v>1</v>
      </c>
      <c r="I50" s="9" t="n">
        <v>0</v>
      </c>
      <c r="J50" s="7" t="inlineStr">
        <is>
          <t>[สำหรับผู้สอน] นักเรียนอธิบายเหตุผลในเชิงว่ามีประสิทธิภาพมากกว่า แต่ใช้คำอธิบายที่สั้นและคลุมเครือ ('Loop ที่ถัวและมีประสิทธิภาพมากกว่า') และไม่ได้ยกตัวอย่าง Algorithm ใดๆ ตามที่โจทย์กำหนด (ขาดทั้ง Merge Sort/Quick Sort และ Bubble/Insertion Sort) จึงเข้าเกณฑ์ระดับพื้นฐาน (1.00 คะแนน) ที่ตอบถูกทางบางส่วนเรื่องประสิทธิภาพแต่ไม่มีชื่อ Algorithm
[สำหรับนักเรียน] คำตอบชี้ให้เห็นถึงความเข้าใจว่า O(n log n) มีประสิทธิภาพดีกว่า O(n^2) แต่ยังขาดการระบุชื่อ Algorithm ตามที่โจทย์สั่ง เช่น Merge Sort, Quick Sort (สำหรับ O(n log n)) หรือ Bubble Sort (สำหรับ O(n^2)) และควรอธิบายขยายความเพิ่มเติมในเรื่องอัตราการเติบโต (Growth rate) ของเวลาหรือจำนวนรอบการทำงานเมื่อขนาดข้อมูล n มีขนาดใหญ่ขึ้น</t>
        </is>
      </c>
    </row>
    <row r="51" ht="96" customHeight="1">
      <c r="A51" s="6" t="inlineStr">
        <is>
          <t>DS-046</t>
        </is>
      </c>
      <c r="B51" s="6" t="n">
        <v>2</v>
      </c>
      <c r="C51" s="6" t="inlineStr">
        <is>
          <t>text</t>
        </is>
      </c>
      <c r="D51" s="7" t="inlineStr">
        <is>
          <t>อธิบายว่าทำไม O(n log n) เหมาะกับข้อมูลใหญ่กว่า O(n^2) และยกตัวอย่าง Algorithm</t>
        </is>
      </c>
      <c r="E51" s="6" t="inlineStr">
        <is>
          <t>text</t>
        </is>
      </c>
      <c r="F51" s="7" t="inlineStr">
        <is>
          <t>เพราะว่า O(n^2) ทำงานนานกว่าและซับซ้อนกว่า n log n ซึ่ง n^2 เป็น worst ที่แย่กว่า n log n
n log n แยกทำงานแต่ละตอนซึ่งซับซ้อนน้อยทำให้เร็วขึ้น ข้อมูลใหญ่จึงเหมาะกับ n log n มากกว่า</t>
        </is>
      </c>
      <c r="G51" s="6" t="n">
        <v>2</v>
      </c>
      <c r="H51" s="9" t="n">
        <v>1</v>
      </c>
      <c r="I51" s="9" t="n">
        <v>-1</v>
      </c>
      <c r="J51" s="7" t="inlineStr">
        <is>
          <t>[สำหรับผู้สอน] นักเรียนอธิบายเหตุผลเปรียบเทียบว่า O(n log n) ทำงานเร็วกว่าและซับซ้อนน้อยกว่า O(n^2) มีการกล่าวถึงการแยกทำงานแต่ละตอน แต่ไม่ได้ระบุชื่อ Algorithm ตามที่โจทย์กำหนด จึงเข้าเกณฑ์ระดับพื้นฐาน (1.00 คะแนน: ตอบเฉพาะเหตุผลแต่ไม่มีชื่อ Algorithm ประกอบ)
[สำหรับนักเรียน] คุณอธิบายแนวคิดเรื่องความเร็วและความซับซ้อนของการทำงานเปรียบเทียบระหว่าง O(n log n) กับ O(n^2) ได้อย่างถูกต้อง แต่ยังขาดการยกตัวอย่าง Algorithm ตามที่โจทย์สั่ง เช่น Merge Sort, Quick Sort (สำหรับ O(n log n)) หรือ Bubble Sort (สำหรับ O(n^2)) ทำให้เสียคะแนนในส่วนนี้ไปครับ</t>
        </is>
      </c>
    </row>
    <row r="52" ht="140" customHeight="1">
      <c r="A52" s="6" t="inlineStr">
        <is>
          <t>DS-047</t>
        </is>
      </c>
      <c r="B52" s="6" t="n">
        <v>2</v>
      </c>
      <c r="C52" s="6" t="inlineStr">
        <is>
          <t>text</t>
        </is>
      </c>
      <c r="D52" s="7" t="inlineStr">
        <is>
          <t>อธิบายว่าทำไม O(n log n) เหมาะกับข้อมูลใหญ่กว่า O(n^2) และยกตัวอย่าง Algorithm</t>
        </is>
      </c>
      <c r="E52" s="6" t="inlineStr">
        <is>
          <t>text</t>
        </is>
      </c>
      <c r="F52" s="7" t="inlineStr">
        <is>
          <t>เพราะว่า Big-O (n log n) จะทำการหารครึ่ง หรือแบ่งครึ่ง หรือ (n log n) ทำให้คำนวณข้อมูลขนาดใหญ่ได้เร็วกว่า O(n^2) ส่วน Big-O(n^2) ส่วนมากใช้ใน sort จะใช้เวลามากกว่าในการคำนวณ
ตัวอย่าง Algorithm:
O(n log n) = Merge sort
O(n^2) = Insertion sort, Selection sort</t>
        </is>
      </c>
      <c r="G52" s="6" t="n">
        <v>2</v>
      </c>
      <c r="H52" s="9" t="n">
        <v>2</v>
      </c>
      <c r="I52" s="9" t="n">
        <v>0</v>
      </c>
      <c r="J52" s="7" t="inlineStr">
        <is>
          <t>[สำหรับผู้สอน] ผู้เรียนระบุชื่อ Algorithm ถูกต้องทั้งสองฝั่ง (O(n log n) คือ Merge sort และ O(n^2) คือ Insertion sort, Selection sort) รวมถึงอธิบายเหตุผลเรื่องประสิทธิภาพความเร็วและแนวคิดการแบ่งย่อย/หารครึ่ง (Divide &amp; Conquer) ได้ครบถ้วนตามเกณฑ์ 2.00 คะแนน
[สำหรับนักเรียน] คำตอบยอดเยี่ยมและถูกต้องครบถ้วน ทั้งการอธิบายแนวคิดการแบ่งข้อมูล (Divide and Conquer) ที่ทำให้ O(n log n) ประมวลผลได้เร็วกว่า O(n^2) รวมถึงการยกตัวอย่าง Algorithm เช่น Merge Sort และ Insertion/Selection Sort ได้อย่างถูกต้อง</t>
        </is>
      </c>
    </row>
    <row r="53" ht="52" customHeight="1">
      <c r="A53" s="6" t="inlineStr">
        <is>
          <t>DS-048</t>
        </is>
      </c>
      <c r="B53" s="6" t="n">
        <v>2</v>
      </c>
      <c r="C53" s="6" t="inlineStr">
        <is>
          <t>text</t>
        </is>
      </c>
      <c r="D53" s="7" t="inlineStr">
        <is>
          <t>อธิบายว่าทำไม O(n log n) เหมาะกับข้อมูลใหญ่กว่า O(n^2) และยกตัวอย่าง Algorithm</t>
        </is>
      </c>
      <c r="E53" s="6" t="inlineStr">
        <is>
          <t>text</t>
        </is>
      </c>
      <c r="F53" s="7" t="inlineStr">
        <is>
          <t>ไม่ต้อง Loop ซ้ำซ้อน เรียกใช้แค่ method เดียว</t>
        </is>
      </c>
      <c r="G53" s="6" t="n">
        <v>1</v>
      </c>
      <c r="H53" s="9" t="n">
        <v>1</v>
      </c>
      <c r="I53" s="9" t="n">
        <v>0</v>
      </c>
      <c r="J53" s="7" t="inlineStr">
        <is>
          <t>[สำหรับผู้สอน] ผู้เรียนตอบว่า 'ไม่ต้อง Loop ซ้ำซ้อน เรียกใช้แค่ method เดียว' ซึ่งถือว่าตอบสั้นมาก แต่มีสาระสำคัญที่ถูกทางบางส่วนในแง่ของการไม่ต้องใช้ loop ซ้ำซ้อน (ลด nested loop เมื่อเทียบกับ O(n^2)) อย่างไรก็ตาม ผู้เรียนไม่ได้ระบุชื่อ Algorithm ที่เป็น O(n log n) หรือ O(n^2) มาเลย และไม่ได้อธิบายเรื่องอัตราการเติบโตหรือเปรียบเทียบเวลาในการทำงานอย่างชัดเจน จึงจัดอยู่ในระดับพื้นฐาน (1.00 คะแนน) ตามเกณฑ์ที่ระบุว่า 'ตอบสั้นมาก แต่พอมีสาระสำคัญที่ถูกทางบางส่วน (เช่น ตอบเรื่องการลดลูปซ้ำซ้อน)'
[สำหรับนักเรียน] คำตอบของคุณมีการพูดถึงประเด็นเรื่องการไม่ต้องวนลูปซ้ำซ้อน (Nested loop) ซึ่งเป็นแนวคิดที่ถูกต้องบางส่วน แต่ยังขาดการระบุตัวอย่าง Algorithm เช่น Merge Sort หรือ Quick Sort สำหรับ O(n log n) และควรเพิ่มการอธิบายเชิงเปรียบเทียบว่าเมื่อข้อมูล n มีขนาดใหญ่ขึ้น อัตราการเติบโตของเวลาประมวลผล (Growth rate) ของ O(n log n) จะช้ากว่าและใช้จำนวนรอบการทำงานน้อยกว่า O(n^2) อย่างไร</t>
        </is>
      </c>
    </row>
    <row r="54" ht="52" customHeight="1">
      <c r="A54" s="6" t="inlineStr">
        <is>
          <t>DS-049</t>
        </is>
      </c>
      <c r="B54" s="6" t="n">
        <v>2</v>
      </c>
      <c r="C54" s="6" t="inlineStr">
        <is>
          <t>text</t>
        </is>
      </c>
      <c r="D54" s="7" t="inlineStr">
        <is>
          <t>อธิบายว่าทำไม O(n log n) เหมาะกับข้อมูลใหญ่กว่า O(n^2) และยกตัวอย่าง Algorithm</t>
        </is>
      </c>
      <c r="E54" s="6" t="inlineStr">
        <is>
          <t>text</t>
        </is>
      </c>
      <c r="F54" s="7" t="inlineStr">
        <is>
          <t>เพราะ เสถียรกว่า ประมวลผลเสียข้อมูลขนาดใหญ่ได้ดีกว่า เช่น Merge sort</t>
        </is>
      </c>
      <c r="G54" s="6" t="n">
        <v>1</v>
      </c>
      <c r="H54" s="9" t="n">
        <v>1</v>
      </c>
      <c r="I54" s="9" t="n">
        <v>0</v>
      </c>
      <c r="J54" s="7" t="inlineStr">
        <is>
          <t>[สำหรับผู้สอน] นักเรียนมีการระบุตัวอย่างอัลกอริทึมที่ถูกต้องคือ 'Merge sort' แต่ในส่วนของการอธิบายเหตุผล นักเรียนเพียงแค่ระบุว่า 'เสถียรกว่า ประมวลผลเสียข้อมูลขนาดใหญ่ได้ดีกว่า' ซึ่งเป็นการทวนประเด็นว่าทำงานกับข้อมูลขนาดใหญ่ได้ดีกว่าโดยไม่ได้อธิบายเหตุผลรองรับเชิงประสิทธิภาพ (เช่น อัตราการเติบโตของเวลา/รอบการทำงานที่น้อยกว่า หรือการแบ่งข้อมูล) นอกจากนี้คำว่า 'เสถียร' (Stability) เป็นคุณสมบัติคนละเรื่องกับ Time Complexity จึงเข้าเกณฑ์ระดับ 1.00 คะแนน (มีชื่อ Algorithm แต่เขียนเพียงทวนคำถามซ้ำว่ามีประสิทธิภาพดีกว่าโดยไม่อธิบายเหตุผลรองรับ)
[สำหรับนักเรียน] คุณระบุตัวอย่างอัลกอริทึมได้ถูกต้อง คือ Merge Sort แต่ยังขาดคำอธิบายเหตุผลว่า 'ทำไม' O(n log n) ถึงมีประสิทธิภาพดีกว่า O(n^2) ในเชิงการเติบโตของเวลาประมวลผล (Growth rate) หรือจำนวนรอบในการทำงานที่เพิ่มขึ้นช้ากว่าเมื่อข้อมูลมีขนาดใหญ่ ทั้งนี้ ความ 'เสถียร' (Stable sort) เป็นเรื่องของการรักษาลำดับเดิมของข้อมูลที่มีค่าเท่ากัน ไม่ใช่เหตุผลด้านความเร็วของ Time Complexity ครับ</t>
        </is>
      </c>
    </row>
    <row r="55" ht="74" customHeight="1">
      <c r="A55" s="6" t="inlineStr">
        <is>
          <t>DS-050</t>
        </is>
      </c>
      <c r="B55" s="6" t="n">
        <v>2</v>
      </c>
      <c r="C55" s="6" t="inlineStr">
        <is>
          <t>text</t>
        </is>
      </c>
      <c r="D55" s="7" t="inlineStr">
        <is>
          <t>อธิบายว่าทำไม O(n log n) เหมาะกับข้อมูลใหญ่กว่า O(n^2) และยกตัวอย่าง Algorithm</t>
        </is>
      </c>
      <c r="E55" s="6" t="inlineStr">
        <is>
          <t>text</t>
        </is>
      </c>
      <c r="F55" s="7" t="inlineStr">
        <is>
          <t>เพราะมีประสิทธิภาพการทำงานที่ดีกว่า เร็วกว่า ประหยัดพื้นที่หน่วยความจำมากกว่า เช่น Quick Sort (O(n log n)) และ Insertion Sort (O(n^2))</t>
        </is>
      </c>
      <c r="G55" s="6" t="n">
        <v>2</v>
      </c>
      <c r="H55" s="9" t="n">
        <v>2</v>
      </c>
      <c r="I55" s="9" t="n">
        <v>0</v>
      </c>
      <c r="J55" s="7" t="inlineStr">
        <is>
          <t>[สำหรับผู้สอน] ผู้เรียนระบุชื่อ Algorithm ที่สอดคล้องได้อย่างถูกต้องทั้งสองฝั่ง (Quick Sort สำหรับ O(n log n) และ Insertion Sort สำหรับ O(n^2)) พร้อมทั้งระบุว่ามีประสิทธิภาพที่ดีกว่าและเร็วกว่า แม้จะมีการกล่าวเสริมเรื่องประหยัดพื้นที่หน่วยความจำมากกว่าเข้ามา แต่ตามแนวนโยบายการตรวจของผู้สอนอนุโลมให้คะแนนเต็มได้หากมีใจความหลักเรื่องประสิทธิภาพความเร็วและชื่ออัลกอริทึมครบถ้วน
[สำหรับนักเรียน] ตอบคำถามได้ถูกต้องและยกตัวอย่างอัลกอริทึมได้ตรงตามความซับซ้อนของเวลา (Quick Sort สำหรับ O(n log n) และ Insertion Sort สำหรับ O(n^2)) ทั้งนี้ ขอเสริมข้อสังเกตเพิ่มเติมว่า Big-O ที่กล่าวถึงนี้เป็น Time Complexity (ความเร็วในการทำงาน) ซึ่ง O(n log n) ไม่จำเป็นต้องประหยัดหน่วยความจำ (Space Complexity) มากกว่า O(n^2) เสมอไป (เช่น Merge Sort ที่ต้องใช้ memory เพิ่ม) แต่ในแง่ความเร็วทำได้ดีกว่ามากเมื่อข้อมูลมีขนาดใหญ่ครับ</t>
        </is>
      </c>
    </row>
    <row r="56" ht="52" customHeight="1">
      <c r="A56" s="6" t="inlineStr">
        <is>
          <t>DS-051</t>
        </is>
      </c>
      <c r="B56" s="6" t="n">
        <v>2</v>
      </c>
      <c r="C56" s="6" t="inlineStr">
        <is>
          <t>text</t>
        </is>
      </c>
      <c r="D56" s="7" t="inlineStr">
        <is>
          <t>อธิบายว่าทำไม O(n log n) เหมาะกับข้อมูลใหญ่กว่า O(n^2) และยกตัวอย่าง Algorithm</t>
        </is>
      </c>
      <c r="E56" s="6" t="inlineStr">
        <is>
          <t>text</t>
        </is>
      </c>
      <c r="F56" s="7" t="inlineStr">
        <is>
          <t>O(n log n) เป็นการทำงานแบบเรียกตัวเอง ไม่ต้องวนลูปหลายรอบ
อย่าง fac(int n)
if (n == 0) return 1;
else return n * fac(n-1)
main: int n = 5; print fac(n)
O(n^2) จะเป็นการวนลูป (การหา fac ตามด้านบนก็ได้)
int n = 5
for (i = 1; i &lt; 5; i++)
    for (j = i; j &lt; 5; j--)
        fac = i * j
print fac
หา fac เหมือนกัน แต่เป็น 2 ลูป</t>
        </is>
      </c>
      <c r="G56" s="6" t="n">
        <v>1.5</v>
      </c>
      <c r="H56" s="9" t="n">
        <v>1</v>
      </c>
      <c r="I56" s="9" t="n">
        <v>-0.5</v>
      </c>
      <c r="J56" s="7" t="inlineStr">
        <is>
          <t>[สำหรับผู้สอน] ผู้เรียนพยายามเปรียบเทียบการทำงานแบบ Recursive กับ Nested loops และยกตัวอย่างโค้ดประกอบ แต่ตัวอย่างที่ยกมามีความเข้าใจผิดทางเทคนิคอย่างมาก (ฟังก์ชัน Factorial แบบ recursive ข้างต้นมีความซับซ้อนเป็น O(n) ไม่ใช่ O(n log n) และโค้ดลูปซ้อนที่เขียนก็ไม่ได้คำนวณ factorial ที่ถูกต้องหรือเป็น O(n^2) ตามหลักการจริง) รวมถึงไม่ได้ระบุชื่อ Algorithm มาตรฐาน (เช่น Merge Sort, Quick Sort เป็นต้น) ที่เป็น O(n log n) หรือ O(n^2) ตามโจทย์ อย่างไรก็ตาม ผู้เรียนมีความพยายามอธิบายในเชิงกลไกการลดรอบการทำงานและแสดงตัวอย่างโค้ด จึงจัดอยู่ในเกณฑ์ระดับพื้นฐาน (1.00 คะแนน) ตามเกณฑ์ที่ระบุว่ามีสาระสำคัญที่ถูกทางบางส่วนเรื่องการลดลูปซ้ำซ้อน
[สำหรับนักเรียน] คุณมีความเข้าใจในเบื้องต้นว่าความซับซ้อนระดับ O(n^2) มักเกิดจากการทำงานแบบลูปซ้อนลูป (nested loops) อย่างไรก็ตาม ตัวอย่างโค้ด factorial ที่ยกมาเป็นการทำงานแบบ O(n) ไม่ใช่ O(n log n) และยังไม่ได้ระบุชื่ออัลกอริทึมมาตรฐานตามโจทย์ แนะนำให้ศึกษาเพิ่มเติมเกี่ยวกับอัลกอริทึมกลุ่ม O(n log n) เช่น Merge Sort หรือ Quick Sort ซึ่งใช้แนวคิด Divide and Conquer ในการแบ่งข้อมูล ทำให้จำนวนรอบการประมวลผลเติบโตช้ากว่า O(n^2) (เช่น Bubble Sort) อย่างมากเมื่อขนาดข้อมูล n มีขนาดใหญ่ครับ</t>
        </is>
      </c>
    </row>
    <row r="57" ht="74" customHeight="1">
      <c r="A57" s="6" t="inlineStr">
        <is>
          <t>DS-052</t>
        </is>
      </c>
      <c r="B57" s="6" t="n">
        <v>2</v>
      </c>
      <c r="C57" s="6" t="inlineStr">
        <is>
          <t>text</t>
        </is>
      </c>
      <c r="D57" s="7" t="inlineStr">
        <is>
          <t>อธิบายว่าทำไม O(n log n) เหมาะกับข้อมูลใหญ่กว่า O(n^2) และยกตัวอย่าง Algorithm</t>
        </is>
      </c>
      <c r="E57" s="6" t="inlineStr">
        <is>
          <t>text</t>
        </is>
      </c>
      <c r="F57" s="7" t="inlineStr">
        <is>
          <t>O(n log n) เหมาะกับข้อมูลใหญ่กว่า O(n^2) เพราะ O(n log n) มีความซ้ำซ้อนน้อยกว่า และมีความเร็ว ประหยัดทรัพยากรมากกว่า O(n^2)</t>
        </is>
      </c>
      <c r="G57" s="6" t="n">
        <v>1</v>
      </c>
      <c r="H57" s="9" t="n">
        <v>1</v>
      </c>
      <c r="I57" s="9" t="n">
        <v>0</v>
      </c>
      <c r="J57" s="7" t="inlineStr">
        <is>
          <t>[สำหรับผู้สอน] ผู้เรียนอธิบายเหตุผลเปรียบเทียบในเชิงความเร็ว ความซ้ำซ้อน และการประหยัดทรัพยากร แต่ไม่ได้ระบุตัวอย่าง Algorithm ตามที่โจทย์กำหนด เข้าเกณฑ์ระดับพื้นฐาน (1.00 คะแนน): 'ตอบเฉพาะเหตุผลว่าเร็วกว่า/ดีกว่า... แต่ไม่มีชื่อ Algorithm ประกอบ'
[สำหรับนักเรียน] คำอธิบายเหตุผลว่า O(n log n) มีความซ้ำซ้อนน้อยกว่าและทำงานเร็วกว่า O(n^2) นั้นถูกต้องแล้ว แต่ยังขาดการยกตัวอย่าง Algorithm เช่น Merge Sort, Quick Sort (สำหรับ O(n log n)) หรือ Bubble Sort (สำหรับ O(n^2)) ตามที่โจทย์ถาม จึงได้คะแนนในส่วนนี้เพียงครึ่งหนึ่งครับ</t>
        </is>
      </c>
    </row>
    <row r="58" ht="74" customHeight="1">
      <c r="A58" s="6" t="inlineStr">
        <is>
          <t>DS-053</t>
        </is>
      </c>
      <c r="B58" s="6" t="n">
        <v>2</v>
      </c>
      <c r="C58" s="6" t="inlineStr">
        <is>
          <t>text</t>
        </is>
      </c>
      <c r="D58" s="7" t="inlineStr">
        <is>
          <t>อธิบายว่าทำไม O(n log n) เหมาะกับข้อมูลใหญ่กว่า O(n^2) และยกตัวอย่าง Algorithm</t>
        </is>
      </c>
      <c r="E58" s="6" t="inlineStr">
        <is>
          <t>text</t>
        </is>
      </c>
      <c r="F58" s="7" t="inlineStr">
        <is>
          <t>O(n log n) ขนานในซับซ้อนเฉพาะกว่า และสามารถหารแบบซับซ้อนได้กว่า O(n^2) ขนานในระดับข้อมูลมีมากลากนิดนึง และไม่เหมาะกับการข้อมูลเน้น ๆ</t>
        </is>
      </c>
      <c r="G58" s="6" t="n">
        <v>1</v>
      </c>
      <c r="H58" s="9" t="n">
        <v>0</v>
      </c>
      <c r="I58" s="9" t="n">
        <v>-1</v>
      </c>
      <c r="J58" s="7" t="inlineStr">
        <is>
          <t>[สำหรับผู้สอน] นักเรียนเขียนข้อความที่จับใจความไม่ได้ในเชิงเทคนิค ("ขนานในซับซ้อนเฉพาะกว่า และสามารถหารแบบซับซ้อนได้กว่า... ขนานในระดับข้อมูลมีมากลากนิดนึง และไม่เหมาะกับการข้อมูลเน้น ๆ") ไม่มีการอธิบายเรื่องอัตราการเติบโต (Growth rate) หรือจำนวนรอบ/เวลาการทำงานที่ลดลง และไม่มีการระบุชื่ออัลกอริทึมตัวอย่างใด ๆ ถือว่าตอบไม่ตรงประเด็นและผิดหลักการทั้งหมด เข้าเกณฑ์ 0.00 คะแนน
[สำหรับนักเรียน] คำตอบยังไม่ถูกต้องและไม่ตรงประเด็นทางวิชาการ ในการตอบข้อนี้ควรระบุ 2 ประเด็นหลัก: 1) เหตุผลที่ O(n log n) เหมาะกับข้อมูลขนาดใหญ่กว่า O(n^2) เนื่องจากมีอัตราการเติบโตของเวลาประมวลผล (Growth rate) ช้ากว่ามาก ทำให้ใช้เวลาและจำนวนรอบการทำงานน้อยกว่าเมื่อ n มีค่ามาก และ 2) ยกตัวอย่างอัลกอริทึม เช่น Merge Sort หรือ Quick Sort สำหรับ O(n log n) และ Bubble Sort หรือ Insertion Sort สำหรับ O(n^2)</t>
        </is>
      </c>
    </row>
    <row r="59" ht="162" customHeight="1">
      <c r="A59" s="6" t="inlineStr">
        <is>
          <t>DS-054</t>
        </is>
      </c>
      <c r="B59" s="6" t="n">
        <v>2</v>
      </c>
      <c r="C59" s="6" t="inlineStr">
        <is>
          <t>text</t>
        </is>
      </c>
      <c r="D59" s="7" t="inlineStr">
        <is>
          <t>อธิบายว่าทำไม O(n log n) เหมาะกับข้อมูลใหญ่กว่า O(n^2) และยกตัวอย่าง Algorithm</t>
        </is>
      </c>
      <c r="E59" s="6" t="inlineStr">
        <is>
          <t>text</t>
        </is>
      </c>
      <c r="F59" s="7" t="inlineStr">
        <is>
          <t>สมมุติว่ามีตาราง 1,000,000 ตัว ใน O(n^2) ทำงานตลอดมี 72 แสนตัว Core CPU ไม่พอ เพราะว่าถ้าคำนวณไปทีละ step loop อยู่ข้างในไปเรื่อยๆ จนทำให้ข้อมูล Error ได้ หรือถ้าทำทำงานช้ามาก ทางที่ดีใช้ log n ในการคำนวณ ตอนที่ว่า ความเร็วการคำนวณ log นั้น ซับซ้อนน้อยกว่าแต่ต่างแค่หน่วยคำนวณปกติไม่มากก็น้อย ซึ่ง n log n จะคำนวณตรงไปตรงอย่างเช่น Merge Sort จัดการแบบ recursive เป็นต้น ขอบคุณครับ~</t>
        </is>
      </c>
      <c r="G59" s="6" t="n">
        <v>1.5</v>
      </c>
      <c r="H59" s="9" t="n">
        <v>2</v>
      </c>
      <c r="I59" s="9" t="n">
        <v>0.5</v>
      </c>
      <c r="J59" s="7" t="inlineStr">
        <is>
          <t>[สำหรับผู้สอน] ผู้เรียนระบุชื่อ Algorithm ถูกต้อง (Merge Sort จัดการแบบ recursive) และอธิบายเปรียบเทียบในแง่ของจำนวนการประมวลผลของ O(n^2) ที่มีลูปข้างใน (nested loop) ทำงานเยอะและช้ามากเมื่อข้อมูลขนาดใหญ่ (ยกตัวอย่าง 1,000,000 ตัว) ในขณะที่ O(n log n) ซับซ้อนน้อยกว่าและประมวลผลเร็วกว่า เข้าเกณฑ์ 2.00 คะแนนตามแนวนโยบายการตรวจของผู้สอนที่เน้น Conceptual Understanding
[สำหรับนักเรียน] คำตอบของคุณถูกต้องครบถ้วน มีการระบุตัวอย่างอัลกอริทึม เช่น Merge Sort และสามารถอธิบายให้เห็นภาพได้ว่า O(n^2) จะมีปัญหาเรื่องการทำงานที่ซ้ำซ้อนในลูป (nested loop) จนใช้เวลาประมวลผลมหาศาลเมื่อข้อมูลมีขนาดใหญ่ ในขณะที่ O(n log n) มีความซับซ้อนน้อยกว่าและประมวลผลได้รวดเร็วกว่ามาก</t>
        </is>
      </c>
    </row>
    <row r="60" ht="96" customHeight="1">
      <c r="A60" s="6" t="inlineStr">
        <is>
          <t>DS-055</t>
        </is>
      </c>
      <c r="B60" s="6" t="n">
        <v>2</v>
      </c>
      <c r="C60" s="6" t="inlineStr">
        <is>
          <t>text</t>
        </is>
      </c>
      <c r="D60" s="7" t="inlineStr">
        <is>
          <t>อธิบายว่าทำไม O(n log n) เหมาะกับข้อมูลใหญ่กว่า O(n^2) และยกตัวอย่าง Algorithm</t>
        </is>
      </c>
      <c r="E60" s="6" t="inlineStr">
        <is>
          <t>text</t>
        </is>
      </c>
      <c r="F60" s="7" t="inlineStr">
        <is>
          <t>Sort | Best | Avg | Worst
Selection | O(n) | O(n^2) | O(n^2)
Bubble | O(n^2) | O(n^2) | O(n^2)
Insertion | O(n^2) | O(n^2) | O(n^2)
Shell | O(n^2) | O(log n) | O(n log n^2)
Quick | O(n) | O(n log n) | O(log n)
Merge | O(nk) | O(nk) | O(nk)
merge ทำความเร็วค่า n และค่า k ซึ่งเหมาะสมกับข้อมูลขนาดใหญ่ เพราะ k แทนค่าจำนวนข้อมูล ส่วน n แทนค่าข้อมูลย่อยหรือเวลาในการทำงาน
k = n/2</t>
        </is>
      </c>
      <c r="G60" s="6" t="n">
        <v>1</v>
      </c>
      <c r="H60" s="9" t="n">
        <v>1</v>
      </c>
      <c r="I60" s="9" t="n">
        <v>0</v>
      </c>
      <c r="J60" s="7" t="inlineStr">
        <is>
          <t>[สำหรับผู้สอน] นักเรียนมีการเขียนตารางระบุชื่อ Algorithm หลากหลายตัว (เช่น Merge Sort, Quick Sort, Selection Sort, Bubble Sort) จึงถือว่ามีการระบุชื่ออัลกอริทึมที่เกี่ยวข้อง อย่างไรก็ตาม ข้อมูล Time Complexity ในตารางมีความคลาดเคลื่อนหลายจุด (เช่น Merge Sort เขียนเป็น O(nk), Quick Sort เขียน Worst เป็น O(log n), Selection Sort เขียน Best เป็น O(n)) และในส่วนของคำอธิบายเหตุผล นักเรียนพยายามอธิบาย Merge Sort ด้วยตัวแปร k และ n ซึ่งนิยามไม่ตรงกับหลักการ Big-O ปกติ (Merge Sort คือ O(n log n)) และไม่ได้อธิบายการเปรียบเทียบอัตราการเติบโตหรือประสิทธิภาพความเร็วระหว่าง O(n log n) กับ O(n^2) อย่างถูกต้อง เข้าเกณฑ์ระดับพื้นฐาน (1.00 คะแนน) ที่มีชื่ออัลกอริทึมแต่คำอธิบาย/ความถูกต้องทางเทคนิคไม่สมบูรณ์
[สำหรับนักเรียน] คุณได้ยกตัวอย่าง Algorithm การเรียงลำดับมาหลากหลาย เช่น Quick Sort, Merge Sort, Bubble Sort แต่ค่า Time Complexity ในตารางและคำอธิบายยังมีความเข้าใจที่คลาดเคลื่อนอยู่มากครับ
1. สำหรับ Merge Sort จะมีความซับซ้อนเป็น O(n log n) ในทุกกรณี ไม่ใช่ O(nk)
2. เหตุผลที่ O(n log n) เหมาะกับข้อมูลขนาดใหญ่มากกว่า O(n^2) เป็นเพราะอัตราการเติบโตของเวลาประมวลผล (Growth Rate) ช้ากว่ามาก เช่น เมื่อ n = 1,000,000 การทำงานระดับ n log n จะใช้ขั้นตอนประมาณหลักสิบล้านครั้ง ในขณะที่ n^2 จะใช้ถึงหลักล้านล้านครั้ง ทำให้ O(n log n) ใช้เวลาประมวลผลน้อยกว่ามหาศาลครับ</t>
        </is>
      </c>
    </row>
    <row r="61" ht="74" customHeight="1">
      <c r="A61" s="6" t="inlineStr">
        <is>
          <t>DS-056</t>
        </is>
      </c>
      <c r="B61" s="6" t="n">
        <v>2</v>
      </c>
      <c r="C61" s="6" t="inlineStr">
        <is>
          <t>text</t>
        </is>
      </c>
      <c r="D61" s="7" t="inlineStr">
        <is>
          <t>อธิบายว่าทำไม O(n log n) เหมาะกับข้อมูลใหญ่กว่า O(n^2) และยกตัวอย่าง Algorithm</t>
        </is>
      </c>
      <c r="E61" s="6" t="inlineStr">
        <is>
          <t>text</t>
        </is>
      </c>
      <c r="F61" s="7" t="inlineStr">
        <is>
          <t>เพราะ n log n มีความเร็วมากกว่า n^2 สังเกตจาก Bubble sort ที่สั่งงานได้ช้าเนื่องจากต้องตรวจสอบค่าทีละคู่ หากมีจำนวนข้อมูลใหญ่จะทำให้ใช้เวลานาน</t>
        </is>
      </c>
      <c r="G61" s="6" t="n">
        <v>2</v>
      </c>
      <c r="H61" s="9" t="n">
        <v>1.5</v>
      </c>
      <c r="I61" s="9" t="n">
        <v>-0.5</v>
      </c>
      <c r="J61" s="7" t="inlineStr">
        <is>
          <t>[สำหรับผู้สอน] ผู้เรียนระบุชื่ออัลกอริทึม Bubble sort ฝั่ง O(n^2) พร้อมอธิบายเหตุผลว่า O(n log n) เร็วกว่า และยกตัวอย่างการทำงานของ Bubble sort ที่ช้าเมื่อข้อมูลใหญ่เนื่องจากต้องตรวจทีละคู่ แต่ไม่ได้ระบุตัวอย่างอัลกอริทึมที่เป็นตัวแทนของ O(n log n) เช่น Merge Sort หรือ Quick Sort เข้าเกณฑ์ระดับ 1.50 คะแนน (มีชื่อ Algorithm แต่คำอธิบายสั้นกระชับหรือขาดตัวอย่างฝั่ง O(n log n))
[สำหรับนักเรียน] คำตอบอธิบายเหตุผลได้ถูกต้องว่า O(n log n) ทำงานได้เร็วกว่า และอธิบายการทำงานของ Bubble sort (O(n^2)) ได้ดี แต่ยังขาดการระบุตัวอย่างอัลกอริทึมของฝั่ง O(n log n) เช่น Merge Sort หรือ Quick Sort เพื่อให้คำตอบสมบูรณ์ครบถ้วนตามที่โจทย์ถาม</t>
        </is>
      </c>
    </row>
    <row r="62" ht="74" customHeight="1">
      <c r="A62" s="6" t="inlineStr">
        <is>
          <t>DS-057</t>
        </is>
      </c>
      <c r="B62" s="6" t="n">
        <v>2</v>
      </c>
      <c r="C62" s="6" t="inlineStr">
        <is>
          <t>text</t>
        </is>
      </c>
      <c r="D62" s="7" t="inlineStr">
        <is>
          <t>อธิบายว่าทำไม O(n log n) เหมาะกับข้อมูลใหญ่กว่า O(n^2) และยกตัวอย่าง Algorithm</t>
        </is>
      </c>
      <c r="E62" s="6" t="inlineStr">
        <is>
          <t>text</t>
        </is>
      </c>
      <c r="F62" s="7" t="inlineStr">
        <is>
          <t>เนื่องจากข้อมูลมีขนาดใหญ่ การใช้ O(n^2) อาจจะทำให้มีค่า Big O ที่มากเกินไป จึงจำเป็นต้องใช้วิธีที่มีประสิทธิภาพมากกว่า เพื่อเป็นการลดหน่วยเวลาใน Big O
O(n^2): start; i = 1; j = 1; i &lt;= 12; i++; j &lt;= 12; j++; print(i,j); print(\n); end
ตัวอย่างอีกชุด: start; main n = 5; callA(n); callA: if (i == 0) return 1; else return n * callA(n-1)</t>
        </is>
      </c>
      <c r="G62" s="6" t="n">
        <v>1.5</v>
      </c>
      <c r="H62" s="9" t="n">
        <v>1</v>
      </c>
      <c r="I62" s="9" t="n">
        <v>-0.5</v>
      </c>
      <c r="J62" s="7" t="inlineStr">
        <is>
          <t>[สำหรับผู้สอน] นักเรียนอธิบายเหตุผลในเชิงที่ว่า O(n^2) มีค่ามากเกินไปและต้องการวิธีที่มีประสิทธิภาพมากกว่าเพื่อลดเวลา แต่ไม่ได้ระบุชื่อ Algorithm ที่เป็น O(n log n) ตามที่โจทย์ต้องการโดยตรง (เช่น Merge Sort, Quick Sort) โดยตัวอย่างที่ยกมาเป็นโค้ดวนลูปซ้อน O(n^2) และฟังก์ชัน Recursive แฟกทอเรียล O(n) ซึ่งไม่ใช่ O(n log n) จึงเข้าเกณฑ์ระดับพื้นฐาน (1.00 คะแนน) ที่ตอบถูกเพียงด้านเหตุผลแบบกว้าง ๆ แต่ไม่มีชื่อ Algorithm หรือตัวอย่างที่สอดคล้องกับ O(n log n)
[สำหรับนักเรียน] คำตอบของนักเรียนมีแนวคิดที่ถูกต้องเรื่องการเลือกใช้อัลกอริทึมที่มีความซับซ้อนของเวลาต่ำกว่าเพื่อรองรับข้อมูลขนาดใหญ่ อย่างไรก็ตาม นักเรียนยังไม่ได้ระบุชื่อหรือตัวอย่างของ Algorithm ที่มี Time Complexity เป็น O(n log n) เช่น Merge Sort, Quick Sort หรือ Heap Sort โดยตัวอย่างฟังก์ชัน recursive ที่ยกมาเป็นการคำนวณแบบ O(n) ควรทบทวนอัลกอริทึมกลุ่ม O(n log n) เพิ่มเติมครับ</t>
        </is>
      </c>
    </row>
    <row r="63" ht="52" customHeight="1">
      <c r="A63" s="6" t="inlineStr">
        <is>
          <t>DS-058</t>
        </is>
      </c>
      <c r="B63" s="6" t="n">
        <v>2</v>
      </c>
      <c r="C63" s="6" t="inlineStr">
        <is>
          <t>text</t>
        </is>
      </c>
      <c r="D63" s="7" t="inlineStr">
        <is>
          <t>อธิบายว่าทำไม O(n log n) เหมาะกับข้อมูลใหญ่กว่า O(n^2) และยกตัวอย่าง Algorithm</t>
        </is>
      </c>
      <c r="E63" s="6" t="inlineStr">
        <is>
          <t>text</t>
        </is>
      </c>
      <c r="F63" s="7" t="inlineStr">
        <is>
          <t>เพราะ O(n log n) มันเป็นการตัดครึ่งไปเรื่อยๆ แต่ O(n^2) ต้องทำการ Loop จนครบทุกตัว</t>
        </is>
      </c>
      <c r="G63" s="6" t="n">
        <v>1</v>
      </c>
      <c r="H63" s="9" t="n">
        <v>1</v>
      </c>
      <c r="I63" s="9" t="n">
        <v>0</v>
      </c>
      <c r="J63" s="7" t="inlineStr">
        <is>
          <t>[สำหรับผู้สอน] นักเรียนอธิบายเหตุผลในเชิงกลไกคร่าวๆ ว่า O(n log n) มีการตัดครึ่งไปเรื่อยๆ (สื่อถึง log n) ขณะที่ O(n^2) ต้องวนลูปซ้ำ แต่ไม่ได้ระบุชื่อตัวอย่าง Algorithm (เช่น Merge Sort, Quick Sort หรือ Bubble Sort) ตามที่โจทย์สั่ง จึงจัดอยู่ในเกณฑ์ 1.00 คะแนน (ตอบถูกเพียงด้านใดด้านหนึ่ง / ขาดตัวอย่าง Algorithm)
[สำหรับนักเรียน] คำอธิบายแนวคิดเรื่องการแบ่งครึ่งข้อมูลเปรียบเทียบกับการวนลูปทำงานถือว่าเห็นภาพเบื้องต้นได้ดีครับ อย่างไรก็ตาม ในโจทย์มีการสั่งให้ 'ยกตัวอย่าง Algorithm' ด้วย ซึ่งคำตอบนี้ยังขาดการระบุชื่ออัลกอริทึม เช่น Merge Sort, Quick Sort สำหรับ O(n log n) หรือ Bubble Sort สำหรับ O(n^2) จึงทำให้เสียคะแนนในส่วนนี้ไปครับ</t>
        </is>
      </c>
    </row>
    <row r="64" ht="52" customHeight="1">
      <c r="A64" s="6" t="inlineStr">
        <is>
          <t>DS-059</t>
        </is>
      </c>
      <c r="B64" s="6" t="n">
        <v>2</v>
      </c>
      <c r="C64" s="6" t="inlineStr">
        <is>
          <t>text</t>
        </is>
      </c>
      <c r="D64" s="7" t="inlineStr">
        <is>
          <t>อธิบายว่าทำไม O(n log n) เหมาะกับข้อมูลใหญ่กว่า O(n^2) และยกตัวอย่าง Algorithm</t>
        </is>
      </c>
      <c r="E64" s="6" t="inlineStr">
        <is>
          <t>text</t>
        </is>
      </c>
      <c r="F64" s="7" t="inlineStr">
        <is>
          <t>O(n^2) - ลูกเต๋าโยนเหรียญ
O(n log n)</t>
        </is>
      </c>
      <c r="G64" s="6" t="n">
        <v>0</v>
      </c>
      <c r="H64" s="9" t="n">
        <v>0</v>
      </c>
      <c r="I64" s="9" t="n">
        <v>0</v>
      </c>
      <c r="J64" s="7" t="inlineStr">
        <is>
          <t>[สำหรับผู้สอน] นักเรียนเขียนเพียง 'O(n^2) - ลูกเต๋าโยนเหรียญ' และ 'O(n log n)' โดยไม่มีการอธิบายเหตุผลว่าทำไม O(n log n) จึงเหมาะสมกับข้อมูลขนาดใหญ่กว่า และไม่มีการระบุชื่อ Algorithm ที่ถูกต้องตามหลักการของวิชาโครงสร้างข้อมูล ถือว่าตอบไม่ตรงประเด็นและผิดหลักการอย่างสิ้นเชิง เข้าเกณฑ์ 0.00 คะแนน
[สำหรับนักเรียน] คำตอบยังไม่ตรงตามที่โจทย์ถามครับ โจทย์ต้องการให้อธิบายว่าทำไม O(n log n) จึงเหมาะกับข้อมูลขนาดใหญ่กว่า (เช่น อัตราการเติบโตช้ากว่า ใช้เวลาหรือจำนวนรอบประมวลผลน้อยกว่า O(n^2) เมื่อ n มีค่ามาก) และให้ยกตัวอย่าง Algorithm ที่มี Time Complexity ดังกล่าว เช่น O(n log n) ได้แก่ Merge Sort หรือ Quick Sort และ O(n^2) ได้แก่ Bubble Sort หรือ Selection Sort ครับ</t>
        </is>
      </c>
    </row>
    <row r="65" ht="118" customHeight="1">
      <c r="A65" s="6" t="inlineStr">
        <is>
          <t>DS-060</t>
        </is>
      </c>
      <c r="B65" s="6" t="n">
        <v>2</v>
      </c>
      <c r="C65" s="6" t="inlineStr">
        <is>
          <t>text</t>
        </is>
      </c>
      <c r="D65" s="7" t="inlineStr">
        <is>
          <t>อธิบายว่าทำไม O(n log n) เหมาะกับข้อมูลใหญ่กว่า O(n^2) และยกตัวอย่าง Algorithm</t>
        </is>
      </c>
      <c r="E65" s="6" t="inlineStr">
        <is>
          <t>text</t>
        </is>
      </c>
      <c r="F65" s="7" t="inlineStr">
        <is>
          <t>O(n log n) เหมาะกับข้อมูลขนาดใหญ่มากกว่า O(n^2) เพราะ O(n log n) จะมีประสิทธิภาพดีกว่าเมื่อข้อมูลมีขนาดใหญ่ เช่น อัลกอริทึม Merge Sort ที่มีความซับซ้อน O(n log n) จะทำงานได้เร็วกว่าอัลกอริทึม Bubble Sort ที่มีความซับซ้อน O(n^2) ในกรณีที่ข้อมูลมีขนาดใหญ่</t>
        </is>
      </c>
      <c r="G65" s="6" t="n">
        <v>1</v>
      </c>
      <c r="H65" s="9" t="n">
        <v>2</v>
      </c>
      <c r="I65" s="9" t="n">
        <v>1</v>
      </c>
      <c r="J65" s="7" t="inlineStr">
        <is>
          <t>[สำหรับผู้สอน] ผู้เรียนตอบได้ถูกต้องและครบถ้วนตามเกณฑ์ระดับ 2.00 คะแนน โดยอธิบายใจความหลักเปรียบเทียบเรื่องประสิทธิภาพการทำงาน/ความเร็วเมื่อข้อมูลมีขนาดใหญ่ (ทำงานได้เร็วกว่า) พร้อมทั้งยกตัวอย่างอัลกอริทึมประกอบครบทั้งสองฝั่งอย่างถูกต้อง คือ Merge Sort สำหรับ O(n log n) และ Bubble Sort สำหรับ O(n^2)
[สำหรับนักเรียน] คำตอบถูกต้องครบถ้วนยอดเยี่ยมครับ มีการอธิบายว่า O(n log n) ทำงานได้เร็วกว่าเมื่อข้อมูลมีขนาดใหญ่ พร้อมยกตัวอย่างเปรียบเทียบระหว่าง Merge Sort และ Bubble Sort ได้อย่างชัดเจนและตรงประเด็น</t>
        </is>
      </c>
    </row>
    <row r="66" ht="74" customHeight="1">
      <c r="A66" s="6" t="inlineStr">
        <is>
          <t>DS-061</t>
        </is>
      </c>
      <c r="B66" s="6" t="n">
        <v>2</v>
      </c>
      <c r="C66" s="6" t="inlineStr">
        <is>
          <t>text</t>
        </is>
      </c>
      <c r="D66" s="7" t="inlineStr">
        <is>
          <t>อธิบายว่าทำไม O(n log n) เหมาะกับข้อมูลใหญ่กว่า O(n^2) และยกตัวอย่าง Algorithm</t>
        </is>
      </c>
      <c r="E66" s="6" t="inlineStr">
        <is>
          <t>text</t>
        </is>
      </c>
      <c r="F66" s="7" t="inlineStr">
        <is>
          <t>เพราะว่า O(n log n) มีการทำงานที่มีประสิทธิภาพเร็วกว่า แต่ O(n^2) จะทำให้ข้อมูลมีความล่าช้าและส่งผลกระทบใน code ที่ใช้ loop เป็นส่วนใหญ่</t>
        </is>
      </c>
      <c r="G66" s="6" t="n">
        <v>1.5</v>
      </c>
      <c r="H66" s="9" t="n">
        <v>1</v>
      </c>
      <c r="I66" s="9" t="n">
        <v>-0.5</v>
      </c>
      <c r="J66" s="7" t="inlineStr">
        <is>
          <t>[สำหรับผู้สอน] ผู้เรียนระบุเฉพาะเหตุผลเชิงเปรียบเทียบว่า O(n log n) มีประสิทธิภาพเร็วกว่า O(n^2) และกล่าวถึงเรื่องการใช้ loop แต่ไม่ได้มีการยกตัวอย่างชื่อ Algorithm (เช่น Merge Sort, Quick Sort หรือ Bubble Sort) ตามที่โจทย์กำหนด เข้าเกณฑ์ระดับ 1.00 คะแนน (ตอบเฉพาะเหตุผลว่าเร็วกว่า แต่ไม่มีชื่อ Algorithm ประกอบ)
[สำหรับนักเรียน] คำตอบของคุณอธิบายแนวคิดเรื่องประสิทธิภาพความเร็วและการทำงานของลูปได้ถูกต้อง แต่ยังขาดการยกตัวอย่างชื่อ Algorithm ที่มี Time Complexity ดังกล่าว เช่น O(n log n) ได้แก่ Merge Sort หรือ Quick Sort และ O(n^2) ได้แก่ Bubble Sort หรือ Selection Sort จึงทำให้ยังไม่ได้คะแนนในส่วนนี้ครับ</t>
        </is>
      </c>
    </row>
    <row r="67" ht="140" customHeight="1">
      <c r="A67" s="6" t="inlineStr">
        <is>
          <t>DS-062</t>
        </is>
      </c>
      <c r="B67" s="6" t="n">
        <v>2</v>
      </c>
      <c r="C67" s="6" t="inlineStr">
        <is>
          <t>text</t>
        </is>
      </c>
      <c r="D67" s="7" t="inlineStr">
        <is>
          <t>อธิบายว่าทำไม O(n log n) เหมาะกับข้อมูลใหญ่กว่า O(n^2) และยกตัวอย่าง Algorithm</t>
        </is>
      </c>
      <c r="E67" s="6" t="inlineStr">
        <is>
          <t>text</t>
        </is>
      </c>
      <c r="F67" s="7" t="inlineStr">
        <is>
          <t>เหตุผลที่ O(n log n) มันทำงานได้ดีกว่า O(n^2) ในข้อมูลขนาดใหญ่นั้น เป็นเพราะว่า อัลกอริทึมที่มี Big-O เป็น O(n^2) จะใช้เวลาเยอะขึ้นเมื่อมี input data มากขึ้น ทำให้เมื่อเปรียบเทียบกับอัลกอริทึมที่มี Big-O เป็น O(n log n) จะเหมาะสมกว่าเนื่องจากใช้เวลาน้อยกว่า ตัวอย่าง Algorithm ที่มี Big-O (n log n) เช่น Merge sort</t>
        </is>
      </c>
      <c r="G67" s="6" t="n">
        <v>2</v>
      </c>
      <c r="H67" s="9" t="n">
        <v>2</v>
      </c>
      <c r="I67" s="9" t="n">
        <v>0</v>
      </c>
      <c r="J67" s="7" t="inlineStr">
        <is>
          <t>[สำหรับผู้สอน] ผู้เรียนระบุชื่ออัลกอริทึม Merge sort ซึ่งเป็น O(n log n) ได้ถูกต้อง และอธิบายเปรียบเทียบเชิงมโนทัศน์ว่าเมื่อขนาดข้อมูลเพิ่มขึ้น O(n^2) จะใช้เวลาเพิ่มขึ้นมาก ทำให้ O(n log n) ใช้เวลาน้อยกว่าและเหมาะสมกว่าเมื่อข้อมูลมีขนาดใหญ่ ครบถ้วนตามเกณฑ์ระดับ 2.00 คะแนน
[สำหรับนักเรียน] คำตอบถูกต้องครบถ้วนครับ มีการอธิบายเปรียบเทียบว่า O(n log n) ใช้เวลาน้อยกว่าเมื่อข้อมูลมีขนาดใหญ่ และยกตัวอย่างอัลกอริทึม Merge sort ได้ถูกต้อง</t>
        </is>
      </c>
    </row>
    <row r="68" ht="74" customHeight="1">
      <c r="A68" s="6" t="inlineStr">
        <is>
          <t>DS-063</t>
        </is>
      </c>
      <c r="B68" s="6" t="n">
        <v>2</v>
      </c>
      <c r="C68" s="6" t="inlineStr">
        <is>
          <t>text</t>
        </is>
      </c>
      <c r="D68" s="7" t="inlineStr">
        <is>
          <t>อธิบายว่าทำไม O(n log n) เหมาะกับข้อมูลใหญ่กว่า O(n^2) และยกตัวอย่าง Algorithm</t>
        </is>
      </c>
      <c r="E68" s="6" t="inlineStr">
        <is>
          <t>text</t>
        </is>
      </c>
      <c r="F68" s="7" t="inlineStr">
        <is>
          <t>เพราะ O(n log n) กินทรัพยากรน้อยกว่า O(n^2) ตัวอย่างเช่น การหาค่า flag เพราะการเรียกใช้ตัวเองจะใช้ทรัพยากรน้อยกว่าการทำลูป</t>
        </is>
      </c>
      <c r="G68" s="6" t="n">
        <v>1</v>
      </c>
      <c r="H68" s="9" t="n">
        <v>1</v>
      </c>
      <c r="I68" s="9" t="n">
        <v>0</v>
      </c>
      <c r="J68" s="7" t="inlineStr">
        <is>
          <t>[สำหรับผู้สอน] ผู้เรียนระบุเพียงว่า O(n log n) กินทรัพยากรน้อยกว่า O(n^2) ซึ่งเป็นการกล่าวถึงประสิทธิภาพที่ดีกว่าในระดับเบื้องต้น แต่ไม่ได้ระบุชื่อ Algorithm ที่ถูกต้องตามกลุ่มความซับซ้อนนี้ (ยกตัวอย่างเพียง 'การหาค่า flag' และให้เหตุผลที่คลาดเคลื่อนว่าการเรียกใช้ตัวเองกินทรัพยากรน้อยกว่าลูป) เข้าเกณฑ์ระดับพื้นฐาน (1.00 คะแนน): 'ตอบสั้นมาก แต่พอมีสาระสำคัญที่ถูกทางบางส่วน / ตอบเฉพาะเหตุผลว่าเร็วกว่าแต่ไม่มีชื่อ Algorithm ที่ถูกต้องประกอบ'
[สำหรับนักเรียน] คำตอบของคุณสื่อถึงความเข้าใจว่า O(n log n) ใช้ทรัพยากร/ขั้นตอนน้อยกว่า O(n^2) แต่ยังขาดตัวอย่างชื่ออัลกอริทึมที่ถูกต้อง เช่น Merge Sort หรือ Quick Sort สำหรับ O(n log n) และ Bubble Sort หรือ Insertion Sort สำหรับ O(n^2) นอกจากนี้ การทำงานแบบเรียกตัวเอง (Recursion) ไม่ได้ใช้ทรัพยากรน้อยกว่าการวนลูปเสมอไป แต่ O(n log n) มีประสิทธิภาพดีกว่าเนื่องจากอัตราการเติบโตของจำนวนรอบการทำงาน (Growth rate) ต่ำกว่า O(n^2) มากเมื่อขนาดข้อมูล n เพิ่มขึ้น</t>
        </is>
      </c>
    </row>
    <row r="69" ht="96" customHeight="1">
      <c r="A69" s="6" t="inlineStr">
        <is>
          <t>DS-064</t>
        </is>
      </c>
      <c r="B69" s="6" t="n">
        <v>2</v>
      </c>
      <c r="C69" s="6" t="inlineStr">
        <is>
          <t>text</t>
        </is>
      </c>
      <c r="D69" s="7" t="inlineStr">
        <is>
          <t>อธิบายว่าทำไม O(n log n) เหมาะกับข้อมูลใหญ่กว่า O(n^2) และยกตัวอย่าง Algorithm</t>
        </is>
      </c>
      <c r="E69" s="6" t="inlineStr">
        <is>
          <t>text</t>
        </is>
      </c>
      <c r="F69" s="7" t="inlineStr">
        <is>
          <t>O(n log n) ทำงานได้เร็วกว่า O(n^2)
fac(n)
เงื่อนไข = 1
เงื่อนไขเรียกใช้ตัวเอง</t>
        </is>
      </c>
      <c r="G69" s="6" t="n">
        <v>1</v>
      </c>
      <c r="H69" s="9" t="n">
        <v>1</v>
      </c>
      <c r="I69" s="9" t="n">
        <v>0</v>
      </c>
      <c r="J69" s="7" t="inlineStr">
        <is>
          <t>[สำหรับผู้สอน] ผู้เรียนระบุเพียงว่า 'O(n log n) ทำงานได้เร็วกว่า O(n^2)' แต่ไม่ได้อธิบายเหตุผลเรื่องอัตราการเติบโต (Growth rate) หรือจำนวนรอบการประมวลผลที่ลดลง และไม่มีการระบุชื่อ Algorithm ที่เป็น O(n log n) หรือ O(n^2) เลย (การยกตัวอย่าง fac(n) หรือ Factorial เป็นฟังก์ชัน recursive ทั่วไป มี Time Complexity เป็น O(n) ไม่ตรงกับโจทย์) จึงเข้าเกณฑ์ระดับพื้นฐาน (1.00 คะแนน): ตอบเฉพาะเหตุผลสั้นๆ ว่าเร็วกว่าแต่ไม่มีชื่อ Algorithm ที่ถูกต้องประกอบ
[สำหรับนักเรียน] คำตอบของคุณระบุได้ถูกต้องว่า O(n log n) ทำงานได้เร็วกว่า O(n^2) แต่ยังขาดการอธิบายเหตุผลประกอบว่าทำไมจึงเร็วกว่า (เช่น มีอัตราการเติบโตของเวลาช้ากว่า หรือใช้จำนวนรอบการทำงานน้อยกว่ามากเมื่อ n มีขนาดใหญ่) และยังไม่ได้ยกตัวอย่าง Algorithm ที่มี Time Complexity เป็น O(n log n) เช่น Merge Sort, Quick Sort หรือ Heap Sort ครับ (สำหรับตัวอย่างฟังก์ชัน factorial หรือ fac(n) นั้น โดยทั่วไปมีความซับซ้อนเป็น O(n) จึงยังไม่ตรงกับกรณีที่โจทย์ถามครับ)</t>
        </is>
      </c>
    </row>
    <row r="70" ht="74" customHeight="1">
      <c r="A70" s="6" t="inlineStr">
        <is>
          <t>DS-065</t>
        </is>
      </c>
      <c r="B70" s="6" t="n">
        <v>2</v>
      </c>
      <c r="C70" s="6" t="inlineStr">
        <is>
          <t>text</t>
        </is>
      </c>
      <c r="D70" s="7" t="inlineStr">
        <is>
          <t>อธิบายว่าทำไม O(n log n) เหมาะกับข้อมูลใหญ่กว่า O(n^2) และยกตัวอย่าง Algorithm</t>
        </is>
      </c>
      <c r="E70" s="6" t="inlineStr">
        <is>
          <t>text</t>
        </is>
      </c>
      <c r="F70" s="7" t="inlineStr">
        <is>
          <t>O(n log n) เหมาะกับงานที่ใหญ่กว่าเพราะ ประสิทธิภาพการทำงานดีกว่าสูงกว่าและเร็วกว่าไม่ทำงานซ้ำซ้อน
O(n^2) ทำงานซ้ำซ้อนวนลูปซ้อนลูปทำงานช้าเปลืองพื้นที่</t>
        </is>
      </c>
      <c r="G70" s="6" t="n">
        <v>1.5</v>
      </c>
      <c r="H70" s="9" t="n">
        <v>1.5</v>
      </c>
      <c r="I70" s="9" t="n">
        <v>0</v>
      </c>
      <c r="J70" s="7" t="inlineStr">
        <is>
          <t>[สำหรับผู้สอน] นักเรียนอธิบายเหตุผลเปรียบเทียบในเชิงกลไกการทำงานได้ชัดเจน โดยระบุว่า O(n log n) ไม่ทำงานซ้ำซ้อนและเร็วกว่า ส่วน O(n^2) ทำงานซ้ำซ้อนวนลูปซ้อนลูปทำให้ทำงานช้า ซึ่งตรงตามเกณฑ์ 1.50 คะแนน ('มีคำอธิบายเชิงกลไกเรื่องการทำงานไม่ซ้ำซ้อน vs ลูปซ้อนลูป (Nested loops) อย่างชัดเจน แม้ไม่ได้ระบุชื่อ Algorithm เฉพาะเจาะจง') เนื่องจากนักเรียนไม่ได้ยกตัวอย่างชื่อ Algorithm จึงไม่สามารถให้คะแนนเต็ม 2.00 ได้
[สำหรับนักเรียน] คำอธิบายเปรียบเทียบกลไกการทำงานทำได้ดีมาก มีการอธิบายถึงเรื่องลูปซ้อนลูป (nested loop) และความไม่ซ้ำซ้อนในการทำงานอย่างถูกต้อง อย่างไรก็ตาม ขาดการยกตัวอย่างชื่อ Algorithm ตามที่โจทย์ระบุ เช่น O(n log n) ได้แก่ Merge Sort, Quick Sort หรือ O(n^2) ได้แก่ Bubble Sort, Selection Sort เป็นต้น หากเพิ่มตัวอย่างอัลกอริทึมจะทำให้ได้คะแนนเต็มครับ</t>
        </is>
      </c>
    </row>
    <row r="71" ht="96" customHeight="1">
      <c r="A71" s="6" t="inlineStr">
        <is>
          <t>DS-066</t>
        </is>
      </c>
      <c r="B71" s="6" t="n">
        <v>2</v>
      </c>
      <c r="C71" s="6" t="inlineStr">
        <is>
          <t>text</t>
        </is>
      </c>
      <c r="D71" s="7" t="inlineStr">
        <is>
          <t>อธิบายว่าทำไม O(n log n) เหมาะกับข้อมูลใหญ่กว่า O(n^2) และยกตัวอย่าง Algorithm</t>
        </is>
      </c>
      <c r="E71" s="6" t="inlineStr">
        <is>
          <t>text</t>
        </is>
      </c>
      <c r="F71" s="7" t="inlineStr">
        <is>
          <t>ยกตัวอย่าง (Insertion Sort)
เพราะว่า O(n log n) เมื่อเพิ่มข้อมูลตัวใหญ่ๆ ได้โดยไม่เปลือง O(n^2)
O(n log n) จึงเหมาะกว่า O(n^2)</t>
        </is>
      </c>
      <c r="G71" s="6" t="n">
        <v>1.5</v>
      </c>
      <c r="H71" s="9" t="n">
        <v>1</v>
      </c>
      <c r="I71" s="9" t="n">
        <v>-0.5</v>
      </c>
      <c r="J71" s="7" t="inlineStr">
        <is>
          <t>[สำหรับผู้สอน] นักเรียนได้คะแนน 1.00 ตามเกณฑ์ระดับพื้นฐาน (ตอบถูกเพียงด้านใดด้านหนึ่ง/ตอบสั้นและมีจุดคลาดเคลื่อน) เนื่องจาก:
1. นักเรียนยกตัวอย่าง 'Insertion Sort' ซึ่งเป็นอัลกอริทึม O(n^2) ในกรณีทั่วไป/แย่ที่สุด แต่นักเรียนไม่ได้ระบุให้ชัดเจนว่าเป็นตัวอย่างของกลุ่มใด หรืออาจเข้าใจผิดว่าเป็น O(n log n)
2. คำอธิบายเหตุผลมีเพียงการทวนซ้ำและระบุคร่าวๆ ว่า 'เมื่อเพิ่มข้อมูลตัวใหญ่ๆ ได้โดยไม่เปลือง' แต่ไม่ได้อธิบายเชิงอัตราการเติบโต (Growth rate) หรือจำนวนรอบการประมวลผลที่ชัดเจน
[สำหรับนักเรียน] คำตอบยังไม่สมบูรณ์และมีความคลาดเคลื่อนเล็กน้อย:
1. ตัวอย่างอัลกอริทึม: Insertion Sort มี Time Complexity เป็น O(n^2) (ใน Average/Worst case) หากต้องการยกตัวอย่าง O(n log n) ควรใช้ Merge Sort, Quick Sort หรือ Heap Sort
2. การอธิบายเหตุผล: ควรอธิบายเพิ่มเติมว่า O(n log n) มีอัตราการเติบโตของเวลาประมวลผล (Growth rate) ที่ช้ากว่า O(n^2) มากเมื่อขนาดข้อมูล n มีขนาดใหญ่ ทำให้ใช้เวลาและจำนวนรอบการทำงานน้อยกว่าอย่างมีนัยสำคัญ</t>
        </is>
      </c>
    </row>
    <row r="72" ht="52" customHeight="1">
      <c r="A72" s="6" t="inlineStr">
        <is>
          <t>DS-067</t>
        </is>
      </c>
      <c r="B72" s="6" t="n">
        <v>2</v>
      </c>
      <c r="C72" s="6" t="inlineStr">
        <is>
          <t>text</t>
        </is>
      </c>
      <c r="D72" s="7" t="inlineStr">
        <is>
          <t>อธิบายว่าทำไม O(n log n) เหมาะกับข้อมูลใหญ่กว่า O(n^2) และยกตัวอย่าง Algorithm</t>
        </is>
      </c>
      <c r="E72" s="6" t="inlineStr">
        <is>
          <t>text</t>
        </is>
      </c>
      <c r="F72" s="7" t="inlineStr">
        <is>
          <t>เพราะใช้เวลาในการ Sort ข้อมูลน้อยกว่า แต่ก็ยังคงใช้ข้อมูลที่มีประสิทธิภาพ</t>
        </is>
      </c>
      <c r="G72" s="6" t="n">
        <v>1</v>
      </c>
      <c r="H72" s="9" t="n">
        <v>1</v>
      </c>
      <c r="I72" s="9" t="n">
        <v>0</v>
      </c>
      <c r="J72" s="7" t="inlineStr">
        <is>
          <t>[สำหรับผู้สอน] ผู้เรียนตอบเพียงว่าใช้เวลาในการ Sort ข้อมูลน้อยกว่า ซึ่งสื่อถึงประสิทธิภาพด้านเวลาที่เร็วกว่า แต่ไม่ได้ระบุชื่อ Algorithm ตามที่โจทย์กำหนด (เช่น Merge Sort, Quick Sort หรือ Bubble Sort) จึงเข้าเกณฑ์ระดับพื้นฐาน (1.00 คะแนน) ที่ตอบถูกเพียงด้านเหตุผลแต่ขาดตัวอย่าง Algorithm
[สำหรับนักเรียน] คำตอบของคุณสื่อถึงเหตุผลเรื่องการใช้เวลาน้อยกว่าได้ถูกต้อง แต่ยังขาดการยกตัวอย่าง Algorithm (เช่น Merge Sort, Quick Sort หรือเปรียบเทียบกับ Bubble Sort สำหรับ O(n^2)) ตามที่โจทย์กำหนด ทำให้เสียคะแนนในส่วนนี้ไปครับ</t>
        </is>
      </c>
    </row>
    <row r="73" ht="118" customHeight="1">
      <c r="A73" s="6" t="inlineStr">
        <is>
          <t>DS-068</t>
        </is>
      </c>
      <c r="B73" s="6" t="n">
        <v>2</v>
      </c>
      <c r="C73" s="6" t="inlineStr">
        <is>
          <t>text</t>
        </is>
      </c>
      <c r="D73" s="7" t="inlineStr">
        <is>
          <t>อธิบายว่าทำไม O(n log n) เหมาะกับข้อมูลใหญ่กว่า O(n^2) และยกตัวอย่าง Algorithm</t>
        </is>
      </c>
      <c r="E73" s="6" t="inlineStr">
        <is>
          <t>text</t>
        </is>
      </c>
      <c r="F73" s="7" t="inlineStr">
        <is>
          <t>การที่ข้อมูลมีขนาดใหญ่ การใช้ Algorithm O(n^2) จะทำให้เสียเวลาในการคำนวณที่เกินจำเป็นไปมาก อย่างเช่น Bubble sort ที่ทำงาน แล้วหากยิ่งข้อมูลจะจัดเรียงถูกตัวมันก็จะไม่หยุดจนกว่าจะครบ กลับกัน O(n log n) ที่ใช้การคำนวณตามข้อมูลปัจจุบัน มีประสิทธิภาพมากกว่าการปล่อยให้คำนวณไปเรื่อย เช่น Quick Sort</t>
        </is>
      </c>
      <c r="G73" s="6" t="n">
        <v>2</v>
      </c>
      <c r="H73" s="9" t="n">
        <v>2</v>
      </c>
      <c r="I73" s="9" t="n">
        <v>0</v>
      </c>
      <c r="J73" s="7" t="inlineStr">
        <is>
          <t>[สำหรับผู้สอน] นักเรียนสามารถอธิบายเปรียบเทียบประสิทธิภาพระหว่าง O(n^2) กับ O(n log n) ได้ว่า O(n^2) จะทำให้เสียเวลาในการคำนวณมากเกินจำเป็นเมื่อข้อมูลมีขนาดใหญ่ และ O(n log n) มีประสิทธิภาพมากกว่า พร้อมทั้งยกตัวอย่าง Algorithm ของทั้งสองกลุ่มได้ถูกต้องตรงตามเกณฑ์ (Bubble sort สำหรับ O(n^2) และ Quick sort สำหรับ O(n log n)) เข้าเกณฑ์ระดับ 2.00 คะแนนเต็มอย่างครบถ้วน
[สำหรับนักเรียน] คำตอบถูกต้องครบถ้วนดีมากครับ มีการอธิบายเปรียบเทียบประสิทธิภาพเรื่องเวลาการประมวลผลเมื่อข้อมูลมีขนาดใหญ่ และยกตัวอย่างอัลกอริทึมได้ถูกต้องทั้ง Quick Sort และ Bubble Sort</t>
        </is>
      </c>
    </row>
    <row r="74" ht="118" customHeight="1">
      <c r="A74" s="6" t="inlineStr">
        <is>
          <t>DS-069</t>
        </is>
      </c>
      <c r="B74" s="6" t="n">
        <v>3</v>
      </c>
      <c r="C74" s="6" t="inlineStr">
        <is>
          <t>text</t>
        </is>
      </c>
      <c r="D74" s="7" t="inlineStr">
        <is>
          <t>การใช้ลิ้งค์ลิสต์เป็นสแตกและคิวจะแตกต่างจากการใช้อาร์เรย์อย่างไร และมีข้อดีข้อเสียอย่างไร</t>
        </is>
      </c>
      <c r="E74" s="6" t="inlineStr">
        <is>
          <t>text</t>
        </is>
      </c>
      <c r="F74" s="7" t="inlineStr">
        <is>
          <t>แตกต่างกันที่ ไม่มีการ Fixsize เหมือนกับ Array
เพราะ linklist เก็บข้อมูลแบบ Dynamic
ข้อดี
• ไม่จำกัดขนาด
• ค้นหาเร็ว
• เรียกใช้ได้ทันที
• เอาเข้า/ออกเร็ว
ข้อเสีย
•</t>
        </is>
      </c>
      <c r="G74" s="6" t="n">
        <v>0.75</v>
      </c>
      <c r="H74" s="19" t="n">
        <v>0.75</v>
      </c>
      <c r="I74" s="19" t="n">
        <v>0</v>
      </c>
      <c r="J74" s="20" t="inlineStr">
        <is>
          <t>[สำหรับผู้สอน] ผู้เรียนระบุความแตกต่างได้ถูกต้องชัดเจนว่า Array มีการ fix size ส่วน Linked List เก็บข้อมูลแบบ Dynamic (ได้ 0.50 คะแนน ในส่วนความแตกต่างเชิงโครงสร้าง) ในส่วนของข้อดี/ข้อเสีย ผู้เรียนระบุเฉพาะข้อดี แต่ไม่ได้ระบุข้อเสีย (เขียนหัวข้อ 'ข้อเสีย •' ทิ้งไว้โดยไม่มีเนื้อหา) จึงได้ 0.25 คะแนนตามเกณฑ์ที่ระบุเฉพาะข้อดีอย่างเดียว รวมเป็น 0.75 คะแนน
[สำหรับนักเรียน] คุณอธิบายความแตกต่างระหว่าง Linked List และ Array ได้ถูกต้องในเรื่องของขนาดที่ยืดหยุ่น (Dynamic vs Fixed size) และระบุข้อดีได้ดี อย่างไรก็ตาม คุณยังไม่ได้ระบุ 'ข้อเสีย' ของการใช้ Linked List เช่น การใช้หน่วยความจำเพิ่มสำหรับ Pointer หรือการไม่สามารถเข้าถึงข้อมูลแบบสุ่ม (Random access) ได้เหมือน Array ทำให้ยังขาดคะแนนในส่วนข้อเสียไปครับ</t>
        </is>
      </c>
    </row>
    <row r="75" ht="96" customHeight="1">
      <c r="A75" s="6" t="inlineStr">
        <is>
          <t>DS-070</t>
        </is>
      </c>
      <c r="B75" s="6" t="n">
        <v>3</v>
      </c>
      <c r="C75" s="6" t="inlineStr">
        <is>
          <t>text</t>
        </is>
      </c>
      <c r="D75" s="7" t="inlineStr">
        <is>
          <t>การใช้ลิ้งค์ลิสต์เป็นสแตกและคิวจะแตกต่างจากการใช้อาร์เรย์อย่างไร และมีข้อดีข้อเสียอย่างไร</t>
        </is>
      </c>
      <c r="E75" s="6" t="inlineStr">
        <is>
          <t>text</t>
        </is>
      </c>
      <c r="F75" s="7" t="inlineStr">
        <is>
          <t>ความแตกต่าง สแตกและคิว จะมีความยืดหยุ่นมากกว่า เหมาะสมกว่า
ต่างจากการใช้อาร์เรย์
ข้อดี ใช้งานได้หลากหลาย ยืดหยุ่น
ข้อเสีย ในบางกรณีอาจใช้งานยากกว่า</t>
        </is>
      </c>
      <c r="G75" s="6" t="n">
        <v>0.75</v>
      </c>
      <c r="H75" s="19" t="n">
        <v>0.25</v>
      </c>
      <c r="I75" s="19" t="n">
        <v>-0.5</v>
      </c>
      <c r="J75" s="20" t="inlineStr">
        <is>
          <t>[สำหรับผู้สอน] การประเมินตามเกณฑ์:
1. ด้านความแตกต่าง (ได้ 0.25 คะแนน): ผู้เรียนตอบว่า 'สแตกและคิว จะมีความยืดหยุ่นมากกว่า เหมาะสมกว่า ต่างจากการใช้อาร์เรย์' ซึ่งเป็นการตอบแบบกว้างๆ สั้นมาก และกำกวม ไม่ได้อธิบายชัดเจนในเชิงโครงสร้าง (Dynamic vs Fixed size) หรือเชิงกลไก (LIFO/FIFO vs เข้าถึงโดยตรง) จึงให้คะแนนขั้น 0.25 คะแนน
2. ด้านข้อดีและข้อเสีย (ได้ 0.00 คะแนน): คำตอบระบุเพียง 'ข้อดี ใช้งานได้หลากหลาย ยืดหยุ่น' และ 'ข้อเสีย ในบางกรณีอาจใช้งานยากกว่า' ซึ่งเป็นคำพูดลอยๆ ทั่วไป ไม่ได้เชื่อมโยงกับหลักการทางโครงสร้างข้อมูล เช่น เรื่องหน่วยความจำ pointer, การเข้าถึงข้อมูล O(1)/O(n), หรือปัญหา overflow/underflow จึงไม่สามารถให้คะแนนในส่วนนี้ได้ (0.00 คะแนน)
รวมคะแนน 0.25 + 0.00 = 0.25 คะแนน
[สำหรับนักเรียน] คำตอบยังขาดรายละเอียดเชิงลึกทางเทคนิค:
1. ความแตกต่าง: ควรอธิบายให้ชัดเจนในเชิงเทคนิค เช่น การใช้ Linked List ทำ Stack/Queue ทำให้มีขนาดที่ยืดหยุ่น (Dynamic size) ปรับขนาดตามข้อมูลจริง ในขณะที่ Array มีขนาดคงที่ (Fixed size) หรืออธิบายกลไกการทำงานของ Stack (LIFO) และ Queue (FIFO)
2. ข้อดี/ข้อเสีย: ควรระบุเหตุผลทางโครงสร้างข้อมูลที่ชัดเจน เช่น ข้อดีของ Linked List คือไม่ต้องกำหนดขนาดล่วงหน้าและขยายขนาดได้เรื่อยๆ ส่วนข้อเสียคือต้องเสียพื้นที่หน่วยความจำเพิ่มเติมสำหรับเก็บตัวชี้ (Pointer) และเข้าถึงข้อมูลแบบสุ่มไม่ได้ เป็นต้น</t>
        </is>
      </c>
    </row>
    <row r="76" ht="140" customHeight="1">
      <c r="A76" s="6" t="inlineStr">
        <is>
          <t>DS-071</t>
        </is>
      </c>
      <c r="B76" s="6" t="n">
        <v>3</v>
      </c>
      <c r="C76" s="6" t="inlineStr">
        <is>
          <t>text</t>
        </is>
      </c>
      <c r="D76" s="7" t="inlineStr">
        <is>
          <t>การใช้ลิ้งค์ลิสต์เป็นสแตกและคิวจะแตกต่างจากการใช้อาร์เรย์อย่างไร และมีข้อดีข้อเสียอย่างไร</t>
        </is>
      </c>
      <c r="E76" s="6" t="inlineStr">
        <is>
          <t>text</t>
        </is>
      </c>
      <c r="F76" s="7" t="inlineStr">
        <is>
          <t>แตกต่างตรงที่ ไม่ต้องบอกขนาดเหมือนอาร์เรย์
ซึ่งข้อดี คือ เพิ่มเข้าได้โดยไม่ต้องกังวลเรื่องการจองพื้นที่ขนาดเยอะเเล้วว่าง
ข้อเสีย คือ ในการทำงานหรือการใช้ซับซ้อนกว่าอาร์เรย์
ซึ่งสแตกและคิวจะแตกต่างกัน เวลาใช้ก็อาจจะแตกต่างกันไป
ใช้[ไม่ชัดเจน]เช็คข้อมูลก่อน และสแตกจะเป็นแบบ LIFO
ส่วน Queue จะเป็นแบบ FIFO</t>
        </is>
      </c>
      <c r="G76" s="6" t="n">
        <v>1</v>
      </c>
      <c r="H76" s="19" t="n">
        <v>1</v>
      </c>
      <c r="I76" s="19" t="n">
        <v>0</v>
      </c>
      <c r="J76" s="20" t="inlineStr">
        <is>
          <t>[สำหรับผู้สอน] ผู้เรียนตอบได้ครบถ้วนตามเกณฑ์ทั้งสองส่วน:
1. ความแตกต่าง: ระบุว่าไม่ต้องกำหนดขนาดเหมือนอาร์เรย์ (ขนาดแบบ Dynamic) และอธิบายเพิ่มเติมเรื่องกลไกการทำงานของ Stack (LIFO) และ Queue (FIFO) อย่างถูกต้อง (ได้ 0.50 คะแนน)
2. ข้อดี/ข้อเสีย: ระบุข้อดีเรื่องความยืดหยุ่นในการจองพื้นที่ และระบุข้อเสียเรื่องความซับซ้อนในการทำงาน/การใช้งานเมื่อเทียบกับอาร์เรย์ ครบทั้งสองด้าน (ได้ 0.50 คะแนน)
รวมคะแนน 1.00 คะแนนเต็ม
[สำหรับนักเรียน] คำตอบยอดเยี่ยมและครอบคลุมประเด็นสำคัญทั้งหมดครับ สามารถอธิบายความแตกต่างด้านการจัดสรรหน่วยความจำ (ขนาดของข้อมูล) รวมถึงกลไก LIFO ของ Stack และ FIFO ของ Queue ได้ถูกต้อง พร้อมทั้งระบุข้อดีและข้อเสียของการใช้ Linked List เปรียบเทียบกับ Array ได้อย่างชัดเจน</t>
        </is>
      </c>
    </row>
    <row r="77" ht="140" customHeight="1">
      <c r="A77" s="6" t="inlineStr">
        <is>
          <t>DS-072</t>
        </is>
      </c>
      <c r="B77" s="6" t="n">
        <v>3</v>
      </c>
      <c r="C77" s="6" t="inlineStr">
        <is>
          <t>text</t>
        </is>
      </c>
      <c r="D77" s="7" t="inlineStr">
        <is>
          <t>การใช้ลิ้งค์ลิสต์เป็นสแตกและคิวจะแตกต่างจากการใช้อาร์เรย์อย่างไร และมีข้อดีข้อเสียอย่างไร</t>
        </is>
      </c>
      <c r="E77" s="6" t="inlineStr">
        <is>
          <t>text</t>
        </is>
      </c>
      <c r="F77" s="7" t="inlineStr">
        <is>
          <t>สแตก ทำงานแบบ เข้าทีหลัง แต่ออกก่อน
ข้อดีคือ ค้นหาได้เร็ว ลบ-เพิ่มเร็ว
ข้อเสีย slow access
คิว ทำงานแบบ เข้าก่อน และออกก่อน
ข้อดีคือ ค้นหาได้เร็ว ลบ-เพิ่มเร็ว
ข้อเสีย slow access
อาร์เรย์ ทำงานแบบจองพื้นที่
ข้อดี ค้นหาเร็วถ้ารู้ข้อมูล
ข้อเสีย เพิ่ม-ลบข้อมูลช้า</t>
        </is>
      </c>
      <c r="G77" s="6" t="n">
        <v>0.5</v>
      </c>
      <c r="H77" s="19" t="n">
        <v>1</v>
      </c>
      <c r="I77" s="19" t="n">
        <v>0.5</v>
      </c>
      <c r="J77" s="20" t="inlineStr">
        <is>
          <t>[สำหรับผู้สอน] นักเรียนสามารถอธิบายกลไกความแตกต่างระหว่าง Stack (LIFO: เข้าทีหลังออกก่อน), Queue (FIFO: เข้าก่อนออกก่อน) และ Array (การจองพื้นที่) ได้ถูกต้องตามเงื่อนไข (ได้ 0.50 คะแนน) และมีการระบุทั้งข้อดีและข้อเสียของแต่ละโครงสร้างอย่างครบถ้วน (ได้ 0.50 คะแนน) รวมได้คะแนนเต็ม 1.00 คะแนน
[สำหรับนักเรียน] คำตอบของคุณถูกต้องครบถ้วน สามารถอธิบายหลักการทำงานของ Stack (เข้าทีหลังออกก่อน), Queue (เข้าก่อนออกก่อน) และเปรียบเทียบกับ Array (ทำงานแบบจองพื้นที่) ได้เป็นอย่างดี รวมถึงระบุข้อดีและข้อเสียของแต่ละโครงสร้างข้อมูลได้อย่างชัดเจน</t>
        </is>
      </c>
    </row>
    <row r="78" ht="52" customHeight="1">
      <c r="A78" s="6" t="inlineStr">
        <is>
          <t>DS-073</t>
        </is>
      </c>
      <c r="B78" s="6" t="n">
        <v>3</v>
      </c>
      <c r="C78" s="6" t="inlineStr">
        <is>
          <t>text</t>
        </is>
      </c>
      <c r="D78" s="7" t="inlineStr">
        <is>
          <t>การใช้ลิ้งค์ลิสต์เป็นสแตกและคิวจะแตกต่างจากการใช้อาร์เรย์อย่างไร และมีข้อดีข้อเสียอย่างไร</t>
        </is>
      </c>
      <c r="E78" s="6" t="inlineStr">
        <is>
          <t>text</t>
        </is>
      </c>
      <c r="F78" s="7" t="inlineStr">
        <is>
          <t>ข้อดี ข้อมูลไม่เต็ม เพิ่มได้เรื่อย ๆ
ถ้าใช้ อาร์เรย์ จะต้องกำหนดช่องที่กำหนดไว้อยู่แล้ว อาจจะล้นได้</t>
        </is>
      </c>
      <c r="G78" s="6" t="n">
        <v>0.5</v>
      </c>
      <c r="H78" s="19" t="n">
        <v>0.75</v>
      </c>
      <c r="I78" s="19" t="n">
        <v>0.25</v>
      </c>
      <c r="J78" s="20" t="inlineStr">
        <is>
          <t>[สำหรับผู้สอน] ผู้เรียนสามารถอธิบายความแตกต่างเชิงโครงสร้างได้ถูกต้อง (Array ต้องกำหนดขนาดล่วงหน้าและอาจล้นได้ ส่วน Linked List เพิ่มข้อมูลได้เรื่อยๆ) จึงได้ 0.50 คะแนนในส่วนความแตกต่าง ส่วนการระบุข้อดีและข้อเสีย ผู้เรียนระบุเฉพาะข้อดี (ข้อมูลไม่เต็ม เพิ่มได้เรื่อยๆ) แต่ไม่ได้ระบุข้อเสียของ Linked List (เช่น เปลืองหน่วยความจำสำหรับ pointer หรือเข้าถึงช้ากว่า) จึงได้ 0.25 คะแนน รวมได้ 0.75 คะแนน
[สำหรับนักเรียน] คำตอบของคุณอธิบายความแตกต่างด้านขนาดและการจัดการหน่วยความจำระหว่าง Array กับ Linked List ได้ดีมาก รวมถึงระบุข้อดีของ Linked List ได้ถูกต้อง แต่ยังขาดการระบุ 'ข้อเสีย' ของการใช้ Linked List (เช่น การต้องใช้หน่วยความจำเพิ่มเติมสำหรับเก็บ pointer หรือการเข้าถึงข้อมูลแบบสุ่มทำไม่ได้โดยตรง) หากเพิ่มส่วนนี้จะทำให้คำตอบสมบูรณ์ครบถ้วนครับ</t>
        </is>
      </c>
    </row>
    <row r="79" ht="96" customHeight="1">
      <c r="A79" s="6" t="inlineStr">
        <is>
          <t>DS-074</t>
        </is>
      </c>
      <c r="B79" s="6" t="n">
        <v>3</v>
      </c>
      <c r="C79" s="6" t="inlineStr">
        <is>
          <t>text</t>
        </is>
      </c>
      <c r="D79" s="7" t="inlineStr">
        <is>
          <t>การใช้ลิ้งค์ลิสต์เป็นสแตกและคิวจะแตกต่างจากการใช้อาร์เรย์อย่างไร และมีข้อดีข้อเสียอย่างไร</t>
        </is>
      </c>
      <c r="E79" s="6" t="inlineStr">
        <is>
          <t>text</t>
        </is>
      </c>
      <c r="F79" s="7" t="inlineStr">
        <is>
          <t>แตกต่างกันที่การเก็บข้อมูล ข้อดีของ Array ใช้งานง่าย
แต่สามารถเก็บข้อมูลได้เพียง 1 ชนิดต่อ 1 Array ในทางกลับกัน
stack และ queue เก็บข้อมูลได้หลายแบบ
การใช้ Linklist จะทำงานได้ละเอียดกว่า Array
เพราะสามารถกำหนดโครงสร้างของ Linklist ได้</t>
        </is>
      </c>
      <c r="G79" s="6" t="n">
        <v>0.5</v>
      </c>
      <c r="H79" s="19" t="n">
        <v>0</v>
      </c>
      <c r="I79" s="19" t="n">
        <v>-0.5</v>
      </c>
      <c r="J79" s="20" t="inlineStr">
        <is>
          <t>[สำหรับผู้สอน] นักเรียนตอบผิดหลักการทั้งหมด:
1. ความแตกต่าง: นักเรียนอธิบายว่าแตกต่างที่การเก็บข้อมูล โดยบอกว่า Array เก็บข้อมูลได้ 1 ชนิด แต่ Stack และ Queue เก็บได้หลายแบบ ซึ่งไม่ใช่ข้อแตกต่างที่ถูกต้องตามหลักการของ Data Structure (ทั้ง Stack, Queue หรือ Linked List ปกติก็เป็น homogeneous หรือเก็บประเภทข้อมูลที่กำหนดไว้เช่นกัน และไม่ได้อธิบายเรื่อง Fixed vs Dynamic size หรือกลไก LIFO/FIFO แต่อย่างใด) ได้ 0.00 คะแนน
2. ข้อดี/ข้อเสีย: ระบุข้อดีของ Array ว่า 'ใช้งานง่าย' แต่เหตุผลที่เหลือผิดหลักการ และไม่ได้ระบุข้อเสียที่ถูกต้องตามหลักวิชาการ (เช่น ข้อจำกัดขนาด, ความเร็วในการเข้าถึง, การใช้หน่วยความจำ pointer) ได้ 0.00 คะแนน
[สำหรับนักเรียน] คำตอบยังมีความเข้าใจคลาดเคลื่อนเกี่ยวกับโครงสร้างข้อมูลครับ
- ความแตกต่างระหว่างการใช้ Linked List กับ Array ในการทำ Stack/Queue: ประเด็นหลักคือเรื่อง 'ขนาดและการจัดสรรหน่วยความจำ' โดย Array จะมีขนาดคงที่ (Fixed size) ต้องประกาศขนาดล่วงหน้า ส่วน Linked List มีขนาดปรับเปลี่ยนได้ตามจริง (Dynamic size) ยืดหยุ่นกว่า
- ข้อดี/ข้อเสีย: Array เข้าถึงข้อมูลได้รวดเร็วแต่ขนาดจำกัดและอาจเกิด Overflow ได้ง่าย ส่วน Linked List สามารถเพิ่ม-ลดขนาดได้ไม่จำกัดตามหน่วยความจำ แต่ต้องเสียพื้นที่เก็บตัวชี้ (Pointer) และเข้าถึงข้อมูลแบบสุ่มไม่ได้โดยตรงครับ</t>
        </is>
      </c>
    </row>
    <row r="80" ht="52" customHeight="1">
      <c r="A80" s="6" t="inlineStr">
        <is>
          <t>DS-075</t>
        </is>
      </c>
      <c r="B80" s="6" t="n">
        <v>3</v>
      </c>
      <c r="C80" s="6" t="inlineStr">
        <is>
          <t>text</t>
        </is>
      </c>
      <c r="D80" s="7" t="inlineStr">
        <is>
          <t>การใช้ลิ้งค์ลิสต์เป็นสแตกและคิวจะแตกต่างจากการใช้อาร์เรย์อย่างไร และมีข้อดีข้อเสียอย่างไร</t>
        </is>
      </c>
      <c r="E80" s="6" t="inlineStr">
        <is>
          <t>text</t>
        </is>
      </c>
      <c r="F80" s="7" t="inlineStr">
        <is>
          <t>ข้อดีคือ มีความยืดหยุ่นในการเก็บข้อมูล
มีการจัดการเก็บข้อมูลเป็นลำดับ
ข้อเสีย มีพื้นที่จำกัด เป็น static</t>
        </is>
      </c>
      <c r="G80" s="6" t="n">
        <v>0.25</v>
      </c>
      <c r="H80" s="19" t="n">
        <v>0.5</v>
      </c>
      <c r="I80" s="19" t="n">
        <v>0.25</v>
      </c>
      <c r="J80" s="20" t="inlineStr">
        <is>
          <t>[สำหรับผู้สอน] ผู้เรียนระบุข้อดีและข้อเสียโดยอิงลักษณะความยืดหยุ่น (Linked List) และข้อจำกัดพื้นที่/static (Array) จึงได้คะแนนในส่วนการระบุข้อดีและข้อเสีย 0.50 คะแนนเต็ม แต่ไม่ได้อธิบายเปรียบเทียบความแตกต่างเชิงโครงสร้างและกลไกการทำงานของ Stack/Queue หรือ Linked List vs Array ให้ชัดเจนเป็นอีกประเด็นหนึ่งตามเกณฑ์ จึงได้คะแนนรวม 0.50 คะแนน
[สำหรับนักเรียน] คุณระบุข้อดี (ความยืดหยุ่นในการจัดเก็บข้อมูล) และข้อเสีย (ขนาดจำกัด/static ของอาร์เรย์) ได้ถูกต้อง แต่ยังขาดการอธิบายความแตกต่างเชิงโครงสร้างและกลไกการทำงานของ Stack (LIFO) และ Queue (FIFO) หรือการเปรียบเทียบการเพิ่ม/ลบข้อมูลด้วยพอยน์เตอร์เทียบกับการใช้อาร์เรย์อย่างชัดเจน</t>
        </is>
      </c>
    </row>
    <row r="81" ht="52" customHeight="1">
      <c r="A81" s="6" t="inlineStr">
        <is>
          <t>DS-076</t>
        </is>
      </c>
      <c r="B81" s="6" t="n">
        <v>3</v>
      </c>
      <c r="C81" s="6" t="inlineStr">
        <is>
          <t>text</t>
        </is>
      </c>
      <c r="D81" s="7" t="inlineStr">
        <is>
          <t>การใช้ลิ้งค์ลิสต์เป็นสแตกและคิวจะแตกต่างจากการใช้อาร์เรย์อย่างไร และมีข้อดีข้อเสียอย่างไร</t>
        </is>
      </c>
      <c r="E81" s="6" t="inlineStr">
        <is>
          <t>text</t>
        </is>
      </c>
      <c r="F81" s="7" t="inlineStr">
        <is>
          <t>ช่วยให้ใช้พื้นที่ได้อย่างคุ้มค่า ประหยัดพลังงาน
ทำให้มีประสิทธิภาพเพิ่มขึ้น จัดการข้อมูลได้ดี</t>
        </is>
      </c>
      <c r="G81" s="6" t="n">
        <v>0</v>
      </c>
      <c r="H81" s="19" t="n">
        <v>0</v>
      </c>
      <c r="I81" s="19" t="n">
        <v>0</v>
      </c>
      <c r="J81" s="20" t="inlineStr">
        <is>
          <t>[สำหรับผู้สอน] ผู้เรียนไม่ได้อธิบายความแตกต่างเชิงโครงสร้างระหว่าง Linked List และ Array (ไม่กล่าวถึง Fixed size vs Dynamic size หรือกลไก Stack/Queue ใดๆ) จึงได้ 0.00 คะแนนในส่วนความแตกต่าง และในส่วนข้อดี/ข้อเสีย ผู้เรียนเขียนเพียงประโยคกว้างๆ ลอยๆ ('ช่วยให้ใช้พื้นที่ได้อย่างคุ้มค่า ประหยัดพลังงาน ทำให้มีประสิทธิภาพเพิ่มขึ้น จัดการข้อมูลได้ดี') โดยไม่มีการระบุข้อเสียเลย และไม่มีการเปรียบเทียบเชิงเทคนิคของโครงสร้างข้อมูลตามเกณฑ์ จึงได้ 0.00 คะแนน รวมคะแนนเป็น 0.00 คะแนน
[สำหรับนักเรียน] คำตอบยังขาดการอธิบายความแตกต่างเชิงเทคนิคระหว่างการใช้ Linked List กับ Array ในการทำ Stack/Queue (เช่น Array มีขนาดคงที่ ส่วน Linked List ปรับขนาดได้แบบ Dynamic ตามการใช้งาน) และยังไม่ได้ระบุทั้งข้อดีและข้อเสียให้ครบถ้วนอย่างเป็นรูปธรรม เช่น Linked List ไม่ต้องกำหนดขนาดล่วงหน้าแต่เปลืองพื้นที่จัดเก็บ pointer ในขณะที่ Array เข้าถึงข้อมูลได้รวดเร็วแต่ขนาดจำกัด เป็นต้น</t>
        </is>
      </c>
    </row>
    <row r="82" ht="118" customHeight="1">
      <c r="A82" s="6" t="inlineStr">
        <is>
          <t>DS-077</t>
        </is>
      </c>
      <c r="B82" s="6" t="n">
        <v>3</v>
      </c>
      <c r="C82" s="6" t="inlineStr">
        <is>
          <t>text</t>
        </is>
      </c>
      <c r="D82" s="7" t="inlineStr">
        <is>
          <t>การใช้ลิ้งค์ลิสต์เป็นสแตกและคิวจะแตกต่างจากการใช้อาร์เรย์อย่างไร และมีข้อดีข้อเสียอย่างไร</t>
        </is>
      </c>
      <c r="E82" s="6" t="inlineStr">
        <is>
          <t>text</t>
        </is>
      </c>
      <c r="F82" s="7" t="inlineStr">
        <is>
          <t>ข้อแตกต่าง
Array Fix ขนาด แตกต่างจาก linklist, stack, queue ที่ยืดหยุ่น
Array ข้อดี พื้นที่เก็บข้อมูลจะไม่กระจายในหน่วยความจำ
ข้อเสีย ไม่สามารถเพิ่มขนาดเองได้
ส่วน Linklist stack ข้อดี เพิ่มพื้นที่เองได้
ข้อเสีย ข้อมูลกระจัดกระจายในหน่วยความจำ</t>
        </is>
      </c>
      <c r="G82" s="6" t="n">
        <v>1</v>
      </c>
      <c r="H82" s="19" t="n">
        <v>1</v>
      </c>
      <c r="I82" s="19" t="n">
        <v>0</v>
      </c>
      <c r="J82" s="20" t="inlineStr">
        <is>
          <t>[สำหรับผู้สอน] ผู้เรียนตอบได้ครบถ้วนตามเกณฑ์ทั้งสองส่วน: 1) ความแตกต่างเชิงโครงสร้าง (0.50 คะแนน): อธิบายว่า Array มีขนาดคงที่ (Fix ขนาด) ในขณะที่ Linked List/Stack/Queue มีความยืดหยุ่น 2) ข้อดีและข้อเสีย (0.50 คะแนน): ระบุข้อดีและข้อเสียของทั้งสองฝั่งอย่างชัดเจนและถูกต้องตามหลักการ (Array: ข้อมูลเก็บต่อเนื่องไม่กระจาย แต่ขยายขนาดเองไม่ได้ / Linked List: ยืดหยุ่นขยายขนาดได้ แต่ข้อมูลกระจัดกระจายในหน่วยความจำ) รวมเป็น 1.00 คะแนนเต็ม
[สำหรับนักเรียน] คำตอบยอดเยี่ยมและถูกต้องครบถ้วนครับ สามารถเปรียบเทียบความแตกต่างระหว่าง Array ที่มีขนาดคงที่ (Fixed size) กับ Linked List ที่ยืดหยุ่นได้ดี และยังระบุข้อดีข้อเสียเรื่องการจัดสรรพื้นที่ในหน่วยความจำ (Contiguous vs Non-contiguous memory allocation) ได้อย่างถูกต้องและเข้าใจหลักการอย่างแท้จริง</t>
        </is>
      </c>
    </row>
    <row r="83" ht="52" customHeight="1">
      <c r="A83" s="6" t="inlineStr">
        <is>
          <t>DS-078</t>
        </is>
      </c>
      <c r="B83" s="6" t="n">
        <v>3</v>
      </c>
      <c r="C83" s="6" t="inlineStr">
        <is>
          <t>text</t>
        </is>
      </c>
      <c r="D83" s="7" t="inlineStr">
        <is>
          <t>การใช้ลิ้งค์ลิสต์เป็นสแตกและคิวจะแตกต่างจากการใช้อาร์เรย์อย่างไร และมีข้อดีข้อเสียอย่างไร</t>
        </is>
      </c>
      <c r="E83" s="6" t="inlineStr">
        <is>
          <t>text</t>
        </is>
      </c>
      <c r="F83" s="7" t="inlineStr">
        <is>
          <t>ลิ้งค์ลิสต์จะเก็บข้อมูลได้ และลบหรือเพิ่มได้ง่ายกว่า
มีการใช้สแตก LIFO และคิว FIFO มาเพิ่มสีสัน
ข้อเสีย ซับซ้อนมาก ๆ</t>
        </is>
      </c>
      <c r="G83" s="6" t="n">
        <v>0.5</v>
      </c>
      <c r="H83" s="19" t="n">
        <v>0.5</v>
      </c>
      <c r="I83" s="19" t="n">
        <v>0</v>
      </c>
      <c r="J83" s="20" t="inlineStr">
        <is>
          <t>[สำหรับผู้สอน] การประเมินตามเกณฑ์ rubric แบ่งเป็น 2 ส่วน:
1. ด้านความแตกต่างเชิงโครงสร้างและกลไก: ได้ 0.25 คะแนน เนื่องจากผู้เรียนกล่าวถึงการเพิ่ม/ลบได้ง่ายกว่า และมีการเอ่ยถึง Stack (LIFO) และ Queue (FIFO) แต่เขียนในลักษณะกำกวมและสั้นมาก ('มาเพิ่มสีสัน') ไม่ได้อธิบายเปรียบเทียบกับ Array ในเชิงโครงสร้างหรือกลไกอย่างชัดเจน
2. ด้านข้อดีและข้อเสีย: ได้ 0.25 คะแนน ผู้เรียนระบุข้อดีเรื่องการลบ/เพิ่มได้ง่าย และระบุข้อเสียว่า 'ซับซ้อนมาก ๆ' ซึ่งเป็นข้อเสียที่กว้างมากและไม่ได้ให้เหตุผลเชิงเทคนิคที่สมเหตุสมผลตามเกณฑ์ (ขาดการระบุข้อดี/ข้อเสียที่ชัดเจนเชิงเทคนิคครบถ้วนทั้งสองด้าน)
รวมคะแนน 0.25 + 0.25 = 0.50 คะแนน
[สำหรับนักเรียน] คำตอบของคุณได้คะแนน 0.50 เต็ม 1.0 คะแนน
- จุดที่ทำได้: มีการระบุหลักการทำงานของ Stack (LIFO) และ Queue (FIFO) รวมถึงข้อดีเรื่องการเพิ่ม/ลบข้อมูล
- ข้อเสนอแนะในการปรับปรุง: ควรอธิบายเปรียบเทียบกับ Array ให้ชัดเจน เช่น Array มีขนาดคงที่ (Fixed size) ส่วน Linked List มีขนาดปรับเปลี่ยนได้ตามจริง (Dynamic size) และในส่วนของข้อดี/ข้อเสีย ควรระบุประเด็นเชิงเทคนิคให้ชัดเจน เช่น ข้อดีของ Linked List คือไม่ต้องจองขนาดล่วงหน้า ส่วนข้อเสียคือเปลืองหน่วยความจำสำหรับเก็บ Pointer/Address และไม่สามารถเข้าถึงข้อมูลแบบสุ่ม (Random Access) ได้เหมือน Array</t>
        </is>
      </c>
    </row>
    <row r="84" ht="52" customHeight="1">
      <c r="A84" s="6" t="inlineStr">
        <is>
          <t>DS-079</t>
        </is>
      </c>
      <c r="B84" s="6" t="n">
        <v>3</v>
      </c>
      <c r="C84" s="6" t="inlineStr">
        <is>
          <t>text</t>
        </is>
      </c>
      <c r="D84" s="7" t="inlineStr">
        <is>
          <t>การใช้ลิ้งค์ลิสต์เป็นสแตกและคิวจะแตกต่างจากการใช้อาร์เรย์อย่างไร และมีข้อดีข้อเสียอย่างไร</t>
        </is>
      </c>
      <c r="E84" s="6" t="inlineStr">
        <is>
          <t>text</t>
        </is>
      </c>
      <c r="F84" s="7" t="inlineStr">
        <is>
          <t>สแตก ก็จะต้องเอาออกเป็นชั้น ๆ
คือ จะสามารถเอาเข้าแล้ว สามารถเอาออกเหมือนลาดรดไข้เลย</t>
        </is>
      </c>
      <c r="G84" s="6" t="n">
        <v>0</v>
      </c>
      <c r="H84" s="19" t="n">
        <v>0.25</v>
      </c>
      <c r="I84" s="19" t="n">
        <v>0.25</v>
      </c>
      <c r="J84" s="20" t="inlineStr">
        <is>
          <t>[สำหรับผู้สอน] ผู้เรียนได้รับคะแนน 0.25 คะแนน จากส่วน 'ความแตกต่างเชิงโครงสร้างและกลไก' เนื่องจากอธิบายพฤติกรรมการเอาออกเป็นชั้น ๆ ของสแตกได้เพียงบางส่วน สั้นและกำกวมมาก ไม่ได้เปรียบเทียบระหว่าง Linked List กับ Array และไม่ได้กล่าวถึง Queue ส่วนหัวข้อ 'การระบุข้อดีและข้อเสีย' ไม่ได้ระบุ จึงได้ 0.00 คะแนน รวมเป็น 0.25 คะแนน
[สำหรับนักเรียน] คุณอธิบายแนวคิดของสแตก (Stack) ได้บางส่วนว่ามีการนำข้อมูลออกทีละชั้น แต่ยังไม่ได้เปรียบเทียบความแตกต่างระหว่างการใช้ Linked List กับ Array (เช่น ด้านขนาดที่ยืดหยุ่นเทียบกับขนาดคงที่) รวมถึงยังไม่ได้ระบุข้อดีและข้อเสียตามที่โจทย์ถาม ควรตอบให้ครบประเด็นทั้ง Stack, Queue, Linked List, Array พร้อมข้อดีและข้อเสียครับ</t>
        </is>
      </c>
    </row>
    <row r="85" ht="74" customHeight="1">
      <c r="A85" s="6" t="inlineStr">
        <is>
          <t>DS-080</t>
        </is>
      </c>
      <c r="B85" s="6" t="n">
        <v>3</v>
      </c>
      <c r="C85" s="6" t="inlineStr">
        <is>
          <t>text</t>
        </is>
      </c>
      <c r="D85" s="7" t="inlineStr">
        <is>
          <t>การใช้ลิ้งค์ลิสต์เป็นสแตกและคิวจะแตกต่างจากการใช้อาร์เรย์อย่างไร และมีข้อดีข้อเสียอย่างไร</t>
        </is>
      </c>
      <c r="E85" s="6" t="inlineStr">
        <is>
          <t>text</t>
        </is>
      </c>
      <c r="F85" s="7" t="inlineStr">
        <is>
          <t>ใช้ LinkList เป็น Stack และ Queue
- ข้อดี: เร็วกว่า Array, ไม่ต้องกำหนดขนาด
- ข้อเสีย: ใช้ Memory มากกว่า เพราะต้องเก็บ pointer</t>
        </is>
      </c>
      <c r="G85" s="6" t="n">
        <v>0.5</v>
      </c>
      <c r="H85" s="19" t="n">
        <v>0.75</v>
      </c>
      <c r="I85" s="19" t="n">
        <v>0.25</v>
      </c>
      <c r="J85" s="20" t="inlineStr">
        <is>
          <t>[สำหรับผู้สอน] การประเมินตามเกณฑ์:
1. ความแตกต่างเชิงโครงสร้างและกลไก (0.25/0.50): ผู้เรียนไม่ได้เขียนอธิบายความแตกต่างเป็นหัวข้อแยกโดยตรง แต่มีการระบุว่า 'ไม่ต้องกำหนดขนาด' ในข้อดี ซึ่งสะท้อนความต่างเรื่องขนาดแบบพลวัตของ Linked List ได้บางส่วนแต่ยังขาดการอธิบายความแตกต่างของ Array ชัดเจน จึงให้ 0.25 คะแนน
2. การระบุข้อดีและข้อเสีย (0.50/0.50): มีการระบุทั้งข้อดี (ไม่ต้องกำหนดขนาด) และข้อเสีย (ใช้ memory มากกว่าเพราะต้องเก็บ pointer) อย่างชัดเจนและสมเหตุสมผล ได้ 0.50 คะแนนเต็ม
รวมคะแนน 0.25 + 0.50 = 0.75 คะแนน
[สำหรับนักเรียน] คำตอบของคุณระบุข้อดีและข้อเสียได้ดีมาก โดยเฉพาะการระบุว่า Linked List ไม่จำเป็นต้องกำหนดขนาดล่วงหน้า และมีข้อเสียคือการใช้หน่วยความจำเพิ่มสำหรับ pointer อย่างไรก็ตาม ควรเพิ่มการอธิบายความแตกต่างเชิงโครงสร้างหรือกลไกการทำงานของ Stack/Queue เมื่อใช้ Linked List เทียบกับ Array ให้ชัดเจนเป็นอีกประเด็นหนึ่งด้วย เช่น การที่ Array มีขนาดคงที่ (Fixed size) หรือลักษณะการเข้าถึงข้อมูล</t>
        </is>
      </c>
    </row>
    <row r="86" ht="96" customHeight="1">
      <c r="A86" s="6" t="inlineStr">
        <is>
          <t>DS-081</t>
        </is>
      </c>
      <c r="B86" s="6" t="n">
        <v>3</v>
      </c>
      <c r="C86" s="6" t="inlineStr">
        <is>
          <t>text</t>
        </is>
      </c>
      <c r="D86" s="7" t="inlineStr">
        <is>
          <t>การใช้ลิ้งค์ลิสต์เป็นสแตกและคิวจะแตกต่างจากการใช้อาร์เรย์อย่างไร และมีข้อดีข้อเสียอย่างไร</t>
        </is>
      </c>
      <c r="E86" s="6" t="inlineStr">
        <is>
          <t>text</t>
        </is>
      </c>
      <c r="F86" s="7" t="inlineStr">
        <is>
          <t>Link List
ข้อดี นำข้อมูลเข้าได้เร็วกว่า
ลบข้อมูลได้เร็วกว่า
ข้อเสีย ค้นหาได้ช้า
Queue
ข้อดี ค้นหาข้อมูลได้เร็ว
ข้อเสีย นำข้อมูลเข้าได้ช้า
ลบข้อมูลได้ช้า</t>
        </is>
      </c>
      <c r="G86" s="6" t="n">
        <v>0.5</v>
      </c>
      <c r="H86" s="19" t="n">
        <v>0.25</v>
      </c>
      <c r="I86" s="19" t="n">
        <v>-0.25</v>
      </c>
      <c r="J86" s="20" t="inlineStr">
        <is>
          <t>[สำหรับผู้สอน] การประเมินตาม Rubric แบ่งเป็น 2 ส่วน:
1. ความแตกต่างเชิงโครงสร้างและกลไก (0.50 คะแนน): ผู้เรียนไม่ได้อธิบายความแตกต่างระหว่างการใช้ Linked List กับ Array ในการทำ Stack/Queue เลย (ไม่มีการพูดถึงขนาดแบบคงที่ vs ยืดหยุ่น หรือหลักการ LIFO/FIFO เทียบกับ Array) ได้ 0.00 คะแนน
2. การระบุข้อดีและข้อเสีย (0.50 คะแนน): ผู้เรียนมีการเขียนหัวข้อ 'ข้อดี' และ 'ข้อเสีย' แต่เนื้อหาบางส่วนคลาดเคลื่อน (เช่น บอกว่า Queue ค้นหาข้อมูลเร็ว แต่นำเข้า/ลบช้า ซึ่งผิดหลักการของ Queue ที่เน้น enqueue/dequeue O(1)) อย่างไรก็ตาม ในส่วนของ Linked List ระบุข้อเสียว่าค้นหาช้า และข้อดีว่าเพิ่ม/ลบเร็ว ถือว่ามีแนวคิดด้านข้อดีข้อเสียอยู่บ้างบางส่วน จึงให้ 0.25 คะแนน
รวมคะแนน 0.00 + 0.25 = 0.25 คะแนน
[สำหรับนักเรียน] คำตอบยังไม่ครอบคลุมสิ่งที่โจทย์ถามครับ โดยมีจุดที่ควรปรับปรุงดังนี้:
1. ความแตกต่าง: ควรอธิบายเปรียบเทียบการสร้าง Stack และ Queue ด้วย Linked List กับ Array เช่น Array จะมีขนาดคงที่ (Fixed size) เสี่ยงต่อ Stack/Queue Overflow ขณะที่ Linked List มีขนาดปรับเปลี่ยนได้ตามจริง (Dynamic size) ไม่จำกัดขนาดล่วงหน้า
2. ข้อดี/ข้อเสีย: สำหรับ Queue กลไกหลักคือ FIFO ซึ่งการนำเข้า (Enqueue) และลบออก (Dequeue) สามารถทำได้เร็ว (O(1)) ไม่ได้ช้าอย่างที่เข้าใจ และ Queue ทั่วไปไม่ได้เน้นการค้นหาข้อมูลแบบสุ่ม ส่วน Linked List มีข้อดีคือขนาดปรับเปลี่ยนได้ง่ายและแทรก/ลบที่หัวได้เร็ว แต่มีข้อเสียคือต้องเสียหน่วยความจำเพิ่มสำหรับเก็บ Pointer/Link ครับ</t>
        </is>
      </c>
    </row>
    <row r="87" ht="162" customHeight="1">
      <c r="A87" s="6" t="inlineStr">
        <is>
          <t>DS-082</t>
        </is>
      </c>
      <c r="B87" s="6" t="n">
        <v>3</v>
      </c>
      <c r="C87" s="6" t="inlineStr">
        <is>
          <t>text</t>
        </is>
      </c>
      <c r="D87" s="7" t="inlineStr">
        <is>
          <t>การใช้ลิ้งค์ลิสต์เป็นสแตกและคิวจะแตกต่างจากการใช้อาร์เรย์อย่างไร และมีข้อดีข้อเสียอย่างไร</t>
        </is>
      </c>
      <c r="E87" s="6" t="inlineStr">
        <is>
          <t>text</t>
        </is>
      </c>
      <c r="F87" s="7" t="inlineStr">
        <is>
          <t>ข้อแตกต่าง
link list จะ insert delete ได้ดีกว่า stack
เพราะ stack เพิ่ม ลบ ได้แค่ Top
ข้อดี ลิ้งค์ลิสต์ ถ้าเป็น Double linklist จะเดินหน้าถอยหลังได้ ยืดหยุ่น ไดนามิก
ข้อดี สแตก push() pop() ได้เร็ว เป็นแบบ LIFO
ข้อเสีย ลิ้งค์ลิสต์ ใช้ memory เยอะ
ข้อเสีย สแตก push() pop() ได้แค่ Top</t>
        </is>
      </c>
      <c r="G87" s="6" t="n">
        <v>1</v>
      </c>
      <c r="H87" s="19" t="n">
        <v>1</v>
      </c>
      <c r="I87" s="19" t="n">
        <v>0</v>
      </c>
      <c r="J87" s="20" t="inlineStr">
        <is>
          <t>[สำหรับผู้สอน] ผู้เรียนระบุความแตกต่างโดยอธิบายกลไกของ Stack ที่จำกัดการเพิ่ม-ลบเฉพาะที่ Top (LIFO) ตามแนวนโยบายการตรวจที่ยอมรับมิติของกลไก Stack/Queue (ได้ 0.50 คะแนน) และมีการระบุข้อดีข้อเสียครบทั้งสองด้าน โดยระบุข้อดีของ Linked List (ยืดหยุ่น ไดนามิก) และข้อเสีย (ใช้ memory เยอะ/เปลืองเนื้อที่) รวมถึงข้อดีข้อเสียของ Stack อย่างชัดเจน (ได้ 0.50 คะแนน) รวมคะแนนได้ 1.00 คะแนนเต็ม
[สำหรับนักเรียน] คำตอบของคุณถูกต้องและครบถ้วน มีการอธิบายความแตกต่างด้านกลไกการทำงานของ Stack (เพิ่ม-ลบได้เฉพาะที่ Top) และระบุข้อดี-ข้อเสียของ Linked List (ข้อดีคือยืดหยุ่น/ไดนามิก, ข้อเสียคือใช้หน่วยความจำเพิ่มสำหรับพอยน์เตอร์) รวมถึงข้อดี-ข้อเสียของ Stack ได้อย่างสมเหตุสมผล</t>
        </is>
      </c>
    </row>
    <row r="88" ht="74" customHeight="1">
      <c r="A88" s="6" t="inlineStr">
        <is>
          <t>DS-083</t>
        </is>
      </c>
      <c r="B88" s="6" t="n">
        <v>3</v>
      </c>
      <c r="C88" s="6" t="inlineStr">
        <is>
          <t>text</t>
        </is>
      </c>
      <c r="D88" s="7" t="inlineStr">
        <is>
          <t>การใช้ลิ้งค์ลิสต์เป็นสแตกและคิวจะแตกต่างจากการใช้อาร์เรย์อย่างไร และมีข้อดีข้อเสียอย่างไร</t>
        </is>
      </c>
      <c r="E88" s="6" t="inlineStr">
        <is>
          <t>text</t>
        </is>
      </c>
      <c r="F88" s="7" t="inlineStr">
        <is>
          <t>เวลาเพิ่ม ทั้งสองเหมือนกัน คือ ต่อท้าย
pop ออกไม่เหมือนกัน สแตกจะ pop จากท้าย ส่วนคิวจะ pop ออกด้านลิสต์
ทั้ง สเเตกเเละคิว ข้อเสีย หาข้อมูลนาน ข้อดี push ไว</t>
        </is>
      </c>
      <c r="G88" s="6" t="n">
        <v>0</v>
      </c>
      <c r="H88" s="19" t="n">
        <v>0.75</v>
      </c>
      <c r="I88" s="19" t="n">
        <v>0.75</v>
      </c>
      <c r="J88" s="20" t="inlineStr">
        <is>
          <t>[สำหรับผู้สอน] ผู้เรียนอธิบายความแตกต่างของกลไก Stack และ Queue (Stack pop ท้าย/LIFO, Queue pop หน้า/FIFO) ได้เข้าใจหลักการเบื้องต้น แต่ไม่ได้เปรียบเทียบความแตกต่างระหว่างการใช้ Linked List กับ Array โดยตรงตามโจทย์ จึงให้ในส่วนความแตกต่าง 0.25 คะแนน (ตอบได้เพียงบางส่วน/กำกวมเมื่อเทียบกับโจทย์หลักที่ถาม Linked List vs Array) สำหรับข้อดีและข้อเสีย ผู้เรียนระบุทั้งสองด้านชัดเจน (ข้อดี push ไว, ข้อเสีย หาข้อมูลนาน) จึงได้ส่วนนี้ 0.50 คะแนน รวมคะแนนเป็น 0.75 คะแนน
[สำหรับนักเรียน] คุณเข้าใจกลไกการนำข้อมูลออกของ Stack และ Queue ได้ดี และสามารถระบุข้อดี (push ไว) และข้อเสีย (ค้นหาข้อมูลช้า) ได้ถูกต้อง อย่างไรก็ตาม โจทย์ถามถึงความแตกต่างระหว่าง 'การใช้ Linked List' กับ 'การใช้อาร์เรย์' ในการสร้าง Stack/Queue ควรเพิ่มประเด็นเรื่องขนาดข้อมูล (Linked List ขยายขนาดได้ยืดหยุ่น ส่วน Array ขนาดคงที่/ต้องจองล่วงหน้า) เพื่อให้คำตอบสมบูรณ์ยิ่งขึ้นครับ</t>
        </is>
      </c>
    </row>
    <row r="89" ht="162" customHeight="1">
      <c r="A89" s="6" t="inlineStr">
        <is>
          <t>DS-084</t>
        </is>
      </c>
      <c r="B89" s="6" t="n">
        <v>3</v>
      </c>
      <c r="C89" s="6" t="inlineStr">
        <is>
          <t>text</t>
        </is>
      </c>
      <c r="D89" s="7" t="inlineStr">
        <is>
          <t>การใช้ลิ้งค์ลิสต์เป็นสแตกและคิวจะแตกต่างจากการใช้อาร์เรย์อย่างไร และมีข้อดีข้อเสียอย่างไร</t>
        </is>
      </c>
      <c r="E89" s="6" t="inlineStr">
        <is>
          <t>text</t>
        </is>
      </c>
      <c r="F89" s="7" t="inlineStr">
        <is>
          <t>การใช้ Link list แทน Array นั้น
ข้อดี คือ
- สามารถ เพิ่ม ลบ ได้เรื่อย ๆ เพราะขนาดของ link list จะไม่จำกัดเหมือน Array
- การ เพิ่ม ลบ ที่รวดเร็วกว่า Array
ข้อเสีย คือ
การเข้าถึงข้อมูล และการค้นหาข้อมูล ทำได้ยากกว่า Array</t>
        </is>
      </c>
      <c r="G89" s="6" t="n">
        <v>0.5</v>
      </c>
      <c r="H89" s="19" t="n">
        <v>1</v>
      </c>
      <c r="I89" s="19" t="n">
        <v>0.5</v>
      </c>
      <c r="J89" s="20" t="inlineStr">
        <is>
          <t>[สำหรับผู้สอน] ผู้เรียนระบุความแตกต่างและข้อดีข้อเสียได้อย่างครบถ้วน โดยอธิบายความแตกต่างด้านขนาด/โครงสร้าง (Linked List มีขนาดไม่จำกัด ยืดหยุ่น เพิ่มลบได้เรื่อยๆ ต่างจาก Array ที่มีขนาดจำกัด) ได้ 0.50 คะแนน และระบุข้อดี (เพิ่ม/ลบได้เรื่อยๆ ไม่จำกัดขนาด, เพิ่ม/ลบรวดเร็ว) และข้อเสีย (การเข้าถึงและค้นหาข้อมูลทำได้ยากกว่า Array) ได้ครบทั้งสองด้าน ได้ 0.50 คะแนน รวมเป็น 1.00 คะแนน
[สำหรับนักเรียน] คำตอบยอดเยี่ยมครับ อธิบายเปรียบเทียบระหว่าง Linked List และ Array ได้ชัดเจน ทั้งเรื่องความยืดหยุ่นของขนาดข้อมูลที่เพิ่ม/ลบได้เรื่อยๆ (Dynamic size) และข้อเสียเรื่องการเข้าถึงข้อมูลแบบสุ่ม (Random Access) ที่ทำได้ยากกว่า Array</t>
        </is>
      </c>
    </row>
    <row r="90" ht="162" customHeight="1">
      <c r="A90" s="6" t="inlineStr">
        <is>
          <t>DS-085</t>
        </is>
      </c>
      <c r="B90" s="6" t="n">
        <v>3</v>
      </c>
      <c r="C90" s="6" t="inlineStr">
        <is>
          <t>text</t>
        </is>
      </c>
      <c r="D90" s="7" t="inlineStr">
        <is>
          <t>การใช้ลิ้งค์ลิสต์เป็นสแตกและคิวจะแตกต่างจากการใช้อาร์เรย์อย่างไร และมีข้อดีข้อเสียอย่างไร</t>
        </is>
      </c>
      <c r="E90" s="6" t="inlineStr">
        <is>
          <t>text</t>
        </is>
      </c>
      <c r="F90" s="7" t="inlineStr">
        <is>
          <t>การใช้ Linklist เป็น stack จะสามารถเพิ่มข้อมูลเข้าทีหลังเเต่ว่าออกก่อน LIFO
การใช้ Linklist เป็น Queue จะสามารถเพิ่มข้อมูลเข้าก่อนออกก่อน FIFO
การใช้ Linklist เป็น Array จะสามารถลบหรือเพิ่มข้อมูลตรงไหนก็ได้
ส่วนการทำงาน
stack จะ slow access
Queue จะ search slow</t>
        </is>
      </c>
      <c r="G90" s="6" t="n">
        <v>0.5</v>
      </c>
      <c r="H90" s="19" t="n">
        <v>0.75</v>
      </c>
      <c r="I90" s="19" t="n">
        <v>0.25</v>
      </c>
      <c r="J90" s="20" t="inlineStr">
        <is>
          <t>[สำหรับผู้สอน] 1. ด้านความแตกต่าง (0.50/0.50): ผู้เรียนอธิบายกลไกของ Stack (LIFO) และ Queue (FIFO) รวมถึงเปรียบเทียบการเพิ่ม/ลบข้อมูลกับ Array ได้ถูกต้องตามแนวนโยบายการตรวจของผู้สอน
2. ด้านข้อดี/ข้อเสีย (0.25/0.50): ผู้เรียนระบุเฉพาะข้อเสีย (slow access, search slow) แต่ไม่ได้ระบุข้อดีอย่างชัดเจน (เช่น ความยืดหยุ่นของขนาดข้อมูล หรือไม่ต้องจองหน่วยความจำล่วงหน้า) จึงได้คะแนนในระดับระบุเฉพาะข้อเสียอย่างเดียว
[สำหรับนักเรียน] คุณอธิบายหลักการทำงานของ Stack (LIFO) และ Queue (FIFO) ได้อย่างถูกต้อง และระบุข้อจำกัดในเรื่องการเข้าถึงข้อมูลที่ช้าได้ดี แต่คำตอบยังขาดการระบุ 'ข้อดี' ของการใช้ Linked List เช่น ความยืดหยุ่นของขนาด (Dynamic size) ที่ไม่ต้องกำหนดขนาดล่วงหน้าเหมือน Array หากระบุข้อดีเพิ่มจะทำให้ได้คะแนนเต็มครับ</t>
        </is>
      </c>
    </row>
    <row r="91" ht="162" customHeight="1">
      <c r="A91" s="6" t="inlineStr">
        <is>
          <t>DS-086</t>
        </is>
      </c>
      <c r="B91" s="6" t="n">
        <v>3</v>
      </c>
      <c r="C91" s="6" t="inlineStr">
        <is>
          <t>text</t>
        </is>
      </c>
      <c r="D91" s="7" t="inlineStr">
        <is>
          <t>การใช้ลิ้งค์ลิสต์เป็นสแตกและคิวจะแตกต่างจากการใช้อาร์เรย์อย่างไร และมีข้อดีข้อเสียอย่างไร</t>
        </is>
      </c>
      <c r="E91" s="6" t="inlineStr">
        <is>
          <t>text</t>
        </is>
      </c>
      <c r="F91" s="7" t="inlineStr">
        <is>
          <t>แตกต่างเพราะการทำงานไม่เหมือนกัน
Stack คือ LIFO (Last in first Out) ซึ่งมี variable เพียงตัวเดียวคือ Top (ตัวบนสุด)
Queue คือ FIFO (First in first Out) ซึ่งมี 2 variable คือ Front (ตัวหน้า) Rear (ตัวหลัง)
จากที่กล่าวการ Insert และ Delete ของทั้ง 2 จึงทำงานต่างกัน โดยที่ Array จะมีการลบที่ เเตกต่างจากทั้ง 2 คือสามารถลบโหนดที่ต้องการได้เลยโดยไม่มีกฎตายตัว
ข้อดี - มีรูปแบบการทำงานที่อิสระมากขึ้น
ข้อเสีย - มีรูปแบบการทำงานที่ซับซ้อนกว่าทำให้สับสน</t>
        </is>
      </c>
      <c r="G91" s="6" t="n">
        <v>1</v>
      </c>
      <c r="H91" s="19" t="n">
        <v>0.75</v>
      </c>
      <c r="I91" s="19" t="n">
        <v>-0.25</v>
      </c>
      <c r="J91" s="20" t="inlineStr">
        <is>
          <t>[สำหรับผู้สอน] ผู้เรียนได้รับคะแนนรวม 0.75 จาก 1.00 คะแนน โดยแบ่งการตรวจตามเกณฑ์ rubric ดังนี้:
1. ความแตกต่างเชิงโครงสร้างและกลไก (ได้ 0.50/0.50): ผู้เรียนอธิบายกลไก Stack (LIFO/Top) และ Queue (FIFO/Front-Rear) เปรียบเทียบกับการลบข้อมูลของ Array ที่เข้าถึงได้โดยตรงไม่มีกฎตายตัว ซึ่งตรงตามเงื่อนไข (ข) และนโยบายการตรวจของผู้สอนอย่างชัดเจน
2. การระบุข้อดีและข้อเสีย (ได้ 0.25/0.50): มีการระบุหัวข้อข้อดี-ข้อเสีย แต่คำอธิบายเป็นลักษณะทั่วไปและกำกวมมาก ('มีรูปแบบการทำงานที่อิสระมากขึ้น', 'ซับซ้อนกว่าทำให้สับสน') ไม่ได้ระบุคุณลักษณะเชิงเทคนิคที่ชัดเจน เช่น ด้านหน่วยความจำ ความเร็วในการเข้าถึง หรือ dynamic sizing จึงให้ 0.25 คะแนน
[สำหรับนักเรียน] คุณสามารถอธิบายกลไกการทำงานของ Stack (LIFO, Top) และ Queue (FIFO, Front, Rear) เปรียบเทียบกับการเข้าถึงข้อมูลของ Array ได้อย่างถูกต้องและชัดเจนมากครับ แต่ในส่วนของข้อดีและข้อเสีย ควรระบุประเด็นเชิงเทคนิคให้ชัดเจนยิ่งขึ้น เช่น การใช้ Linked List ช่วยให้ขนาดของ Stack/Queue ยืดหยุ่น ไม่เกิดปัญหา Overflow แบบ Array แต่มีข้อเสียคือใช้หน่วยความจำเพิ่มขึ้นสำหรับตัวชี้ (Pointer) และเข้าถึงข้อมูลแบบสุ่มไม่ได้ เป็นต้น</t>
        </is>
      </c>
    </row>
    <row r="92" ht="52" customHeight="1">
      <c r="A92" s="6" t="inlineStr">
        <is>
          <t>DS-087</t>
        </is>
      </c>
      <c r="B92" s="6" t="n">
        <v>3</v>
      </c>
      <c r="C92" s="6" t="inlineStr">
        <is>
          <t>text</t>
        </is>
      </c>
      <c r="D92" s="7" t="inlineStr">
        <is>
          <t>การใช้ลิ้งค์ลิสต์เป็นสแตกและคิวจะแตกต่างจากการใช้อาร์เรย์อย่างไร และมีข้อดีข้อเสียอย่างไร</t>
        </is>
      </c>
      <c r="E92" s="6" t="inlineStr">
        <is>
          <t>text</t>
        </is>
      </c>
      <c r="F92" s="7" t="inlineStr">
        <is>
          <t>ลิ้งค์ลิสต์ จะง่ายต่อการดูมากกว่าว่าตัวไหน เชื่อม ตัวไหน
ข้อดี แยกออกง่าย รู้จุดเข้าออก
ข้อเสีย เยอะ เเละอาจทำให้สับสน</t>
        </is>
      </c>
      <c r="G92" s="6" t="n">
        <v>0.5</v>
      </c>
      <c r="H92" s="19" t="n">
        <v>0</v>
      </c>
      <c r="I92" s="19" t="n">
        <v>-0.5</v>
      </c>
      <c r="J92" s="20" t="inlineStr">
        <is>
          <t>[สำหรับผู้สอน] ผู้เรียนไม่ได้ตอบความแตกต่างเชิงโครงสร้างและกลไกระหว่าง Linked List และ Array ในการนำมาใช้เป็น Stack/Queue ตามหลักวิชาการ (เช่น ขนาดคงที่ vs Dynamic size, หรือ LIFO/FIFO) คำตอบเป็นคำพูดลอยๆ ในเชิงความรู้สึกว่า 'ง่ายต่อการดูว่าตัวไหนเชื่อมตัวไหน' ซึ่งไม่ตรงกับเกณฑ์ (ได้ 0.00 คะแนน) สำหรับข้อดีข้อเสีย ตอบว่า 'ข้อดี แยกออกง่าย รู้จุดเข้าออก' และ 'ข้อเสีย เยอะ และอาจทำให้สับสน' ซึ่งไม่ใช่ข้อดีข้อเสียเชิงเทคนิคของโครงสร้างข้อมูล (เช่น การจัดสรรหน่วยความจำ, การเข้าถึงข้อมูล, การสิ้นเปลืองพอยน์เตอร์) จึงได้ 0.00 คะแนน รวมคะแนนทั้งสิ้น 0.00 คะแนน
[สำหรับนักเรียน] คำตอบยังขาดประเด็นทางเทคนิคของโครงสร้างข้อมูลครับ ในส่วนของความแตกต่างควรเปรียบเทียบในด้านการจัดการหน่วยความจำ เช่น อาร์เรย์มีขนาดคงที่ (Fixed size) ต้องจองล่วงหน้า ส่วนลิ้งค์ลิสต์มีขนาดปรับเปลี่ยนได้ตามจริง (Dynamic size) หรืออธิบายกลไกการเข้าออกของ Stack (LIFO) และ Queue (FIFO) ส่วนข้อดีข้อเสียควรระบุเชิงเทคนิค เช่น ข้อดีของลิ้งค์ลิสต์คือขยายขนาดได้ง่ายไม่เกิด overflow แต่มข้อเสียคือเปลืองพื้นที่เก็บ pointer และไม่สามารถเข้าถึงข้อมูลแบบสุ่ม (random access) ได้เร็วเท่าอาร์เรย์ครับ</t>
        </is>
      </c>
    </row>
    <row r="93" ht="118" customHeight="1">
      <c r="A93" s="6" t="inlineStr">
        <is>
          <t>DS-088</t>
        </is>
      </c>
      <c r="B93" s="6" t="n">
        <v>3</v>
      </c>
      <c r="C93" s="6" t="inlineStr">
        <is>
          <t>text</t>
        </is>
      </c>
      <c r="D93" s="7" t="inlineStr">
        <is>
          <t>การใช้ลิ้งค์ลิสต์เป็นสแตกและคิวจะแตกต่างจากการใช้อาร์เรย์อย่างไร และมีข้อดีข้อเสียอย่างไร</t>
        </is>
      </c>
      <c r="E93" s="6" t="inlineStr">
        <is>
          <t>text</t>
        </is>
      </c>
      <c r="F93" s="7" t="inlineStr">
        <is>
          <t>อาเรย์ จะจำกัดขนาด แต่ลิ้งค์ลิสต์ จะสามารถเพิ่มหรือลบ ก็ได้
ตราบเท่าที่ประมวลผลไหว
ข้อดี ของลิ้งค์ลิสต์ คือ ยืดหยุ่น จะเพิ่มหรือลบก็สะดวก และไม่จำกัดขนาด
ข้อเสีย คือ ช้ากว่า Array ประมวลผลช้า</t>
        </is>
      </c>
      <c r="G93" s="6" t="n">
        <v>1</v>
      </c>
      <c r="H93" s="19" t="n">
        <v>1</v>
      </c>
      <c r="I93" s="19" t="n">
        <v>0</v>
      </c>
      <c r="J93" s="20" t="inlineStr">
        <is>
          <t>[สำหรับผู้สอน] นักเรียนตอบได้ครบถ้วนตามเกณฑ์ทั้ง 2 ส่วน: 1) ความแตกต่าง: ระบุว่าอาเรย์จำกัดขนาด ส่วนลิ้งค์ลิสต์สามารถเพิ่มหรือลบได้อย่างยืดหยุ่น (0.50 คะแนน) 2) ข้อดี/ข้อเสีย: ระบุข้อดีของลิ้งค์ลิสต์คือความยืดหยุ่น เพิ่ม/ลบสะดวก และไม่จำกัดขนาด ส่วนข้อเสียคือช้ากว่า Array (0.50 คะแนน) รวมได้ 1.00 คะแนนเต็ม
[สำหรับนักเรียน] ยอดเยี่ยมมากครับ คำตอบครบถ้วนทั้งการเปรียบเทียบเรื่องขนาดและโครงสร้าง (Array มีขนาดจำกัด ส่วน Linked List มีความยืดหยุ่นในการเพิ่ม/ลบ) รวมถึงการระบุข้อดี (ยืดหยุ่น ไม่จำกัดขนาด) และข้อเสีย (การเข้าถึงข้อมูลช้ากว่า Array) ได้อย่างถูกต้อง ชัดเจนครับ</t>
        </is>
      </c>
    </row>
    <row r="94" ht="96" customHeight="1">
      <c r="A94" s="6" t="inlineStr">
        <is>
          <t>DS-089</t>
        </is>
      </c>
      <c r="B94" s="6" t="n">
        <v>3</v>
      </c>
      <c r="C94" s="6" t="inlineStr">
        <is>
          <t>text</t>
        </is>
      </c>
      <c r="D94" s="7" t="inlineStr">
        <is>
          <t>การใช้ลิ้งค์ลิสต์เป็นสแตกและคิวจะแตกต่างจากการใช้อาร์เรย์อย่างไร และมีข้อดีข้อเสียอย่างไร</t>
        </is>
      </c>
      <c r="E94" s="6" t="inlineStr">
        <is>
          <t>text</t>
        </is>
      </c>
      <c r="F94" s="7" t="inlineStr">
        <is>
          <t>แตกต่างตรงที่ สแตกและคิว จะไม่มีการใช้พื้นที่ที่แน่นอน
แต่อาเรย์มีการใช้ที่แน่นอน
สแตกและคิว
ข้อดี เป็น FIFO กับ LIFO
ข้อเสีย ไม่มีการ sort
อาเรย์
ข้อดี มีการ sort
ข้อเสีย มีการ index out of bound</t>
        </is>
      </c>
      <c r="G94" s="6" t="n">
        <v>1</v>
      </c>
      <c r="H94" s="19" t="n">
        <v>0.75</v>
      </c>
      <c r="I94" s="19" t="n">
        <v>-0.25</v>
      </c>
      <c r="J94" s="20" t="inlineStr">
        <is>
          <t>[สำหรับผู้สอน] 1. ด้านความแตกต่าง (ได้ 0.50 คะแนน): ผู้เรียนระบุความแตกต่างเรื่องขนาดพื้นที่อย่างถูกต้อง โดยอธิบายว่าอาเรย์ใช้พื้นที่แน่นอน (fixed size) ส่วนโครงสร้างแบบเชื่อมโยง/สแตก-คิวไม่มีการใช้พื้นที่แน่นอน (dynamic size)
2. ด้านข้อดี-ข้อเสีย (ได้ 0.25 คะแนน): ผู้เรียนระบุข้อเสียของ Array ว่าเสี่ยง index out of bound (ขนาดจำกัด) และระบุข้อดีของสแตกและคิวว่าเป็น FIFO กับ LIFO ได้ถูกต้อง แต่ข้อดี/ข้อเสียเรื่องการ 'sort' ไม่ตรงกับหลักการของ Array และ Stack/Queue (Array ไม่ได้เรียงลำดับในตัว และการไม่เรียงลำดับไม่ใช่ข้อเสียหลักของ Stack/Queue) จึงให้คะแนนในส่วนข้อดีข้อเสียเพียง 0.25 คะแนน รวมเป็น 0.75 คะแนน
[สำหรับนักเรียน] คำตอบของคุณทำได้ดีในส่วนของการเปรียบเทียบการจัดสรรพื้นที่หน่วยความจำระหว่าง Array (ขนาดคงที่/แน่นอน) และความเสี่ยงต่อการเกิด Index out of bound รวมถึงเข้าใจว่า Stack/Queue มีกลไกแบบ LIFO/FIFO อย่างไรก็ตาม ข้อดีและข้อเสียเกี่ยวกับ 'การ sort' ยังไม่ถูกต้องนัก เนื่องจาก Array ปกติไม่ได้มีการเรียงลำดับข้อมูลอัตโนมัติ และ Stack/Queue มีจุดประสงค์เพื่อควบคุมลำดับการเข้าออก ไม่ใช่โครงสร้างสำหรับการเรียงลำดับข้อมูล ควรเน้นเปรียบเทียบเรื่องความเร็วในการเข้าถึงข้อมูล (Random access O(1)) และความสิ้นเปลืองหน่วยความจำจากพอยน์เตอร์เพิ่มเติมครับ</t>
        </is>
      </c>
    </row>
    <row r="95" ht="140" customHeight="1">
      <c r="A95" s="6" t="inlineStr">
        <is>
          <t>DS-090</t>
        </is>
      </c>
      <c r="B95" s="6" t="n">
        <v>3</v>
      </c>
      <c r="C95" s="6" t="inlineStr">
        <is>
          <t>text</t>
        </is>
      </c>
      <c r="D95" s="7" t="inlineStr">
        <is>
          <t>การใช้ลิ้งค์ลิสต์เป็นสแตกและคิวจะแตกต่างจากการใช้อาร์เรย์อย่างไร และมีข้อดีข้อเสียอย่างไร</t>
        </is>
      </c>
      <c r="E95" s="6" t="inlineStr">
        <is>
          <t>text</t>
        </is>
      </c>
      <c r="F95" s="7" t="inlineStr">
        <is>
          <t>แตกต่างตรงที่ ใช้อาร์เรย์ อาร์เรย์กำหนดขนาด
ลิ้งลิสต์ ไม่จำกัดขนาด
ข้อดี อาร์เรย์ เขียนง่ายกว่า เข้าถึงไวกว่า
ข้อเสีย อาร์เรย์ หาข้อมูลได้ช้า จำกัดขนาด ขยายไม่ได้
ข้อดี ลิ้งลิสต์ ขยายข้อมูลได้
ข้อเสีย ลิ้งลิสต์ เขียนยากกว่า</t>
        </is>
      </c>
      <c r="G95" s="6" t="n">
        <v>0.75</v>
      </c>
      <c r="H95" s="19" t="n">
        <v>1</v>
      </c>
      <c r="I95" s="19" t="n">
        <v>0.25</v>
      </c>
      <c r="J95" s="20" t="inlineStr">
        <is>
          <t>[สำหรับผู้สอน] นักเรียนตอบได้ครบถ้วนตามเกณฑ์ rubric ทั้งสองส่วน ได้แก่ 1) ความแตกต่าง: อธิบายเรื่องขนาดว่าอาร์เรย์ต้องกำหนดขนาด ส่วนลิ้งค์ลิสต์ไม่จำกัดขนาด (ได้ 0.50 คะแนน) 2) ข้อดี/ข้อเสีย: มีการระบุทั้งข้อดีและข้อเสียของทั้งอาร์เรย์และลิ้งค์ลิสต์อย่างชัดเจนและสมเหตุสมผล เช่น อาร์เรย์เข้าถึงไวกว่าแต่จำกัดขนาด ส่วนลิ้งค์ลิสต์ขยายข้อมูลได้ (ได้ 0.50 คะแนน) รวมได้คะแนนเต็ม 1.00 คะแนน
[สำหรับนักเรียน] ยอดเยี่ยมมากครับ คำตอบครบถ้วนทั้งการเปรียบเทียบความแตกต่างเรื่องขนาด (Fixed vs Dynamic) และการบอกข้อดี-ข้อเสียของทั้ง Array และ Linked List ได้อย่างถูกต้องชัดเจน</t>
        </is>
      </c>
    </row>
    <row r="96" ht="206" customHeight="1">
      <c r="A96" s="6" t="inlineStr">
        <is>
          <t>DS-091</t>
        </is>
      </c>
      <c r="B96" s="6" t="n">
        <v>3</v>
      </c>
      <c r="C96" s="6" t="inlineStr">
        <is>
          <t>text</t>
        </is>
      </c>
      <c r="D96" s="7" t="inlineStr">
        <is>
          <t>การใช้ลิ้งค์ลิสต์เป็นสแตกและคิวจะแตกต่างจากการใช้อาร์เรย์อย่างไร และมีข้อดีข้อเสียอย่างไร</t>
        </is>
      </c>
      <c r="E96" s="6" t="inlineStr">
        <is>
          <t>text</t>
        </is>
      </c>
      <c r="F96" s="7" t="inlineStr">
        <is>
          <t>การใช้ Linked List เป็น Stack และ Queue จะต่างกับ
การใช้ Array เป็น Stack กับ Queue ตรงที่ การใช้ Array
เวลาสร้าง Array จะต้องมีการประกาศขนาด Array เป็น Static
แต่ถ้าใช้ Linked List จะเป็นขนาดแบบ dynamic ที่สามารถ
ยืดหดพื้นที่เก็บข้อมูลตามจำนวนข้อมูลได้
ข้อดี ของ Linked List คือ ไม่ Fix Size
ข้อเสีย เข้าถึงข้อมูลภายในช้า
ข้อดี ของ Array คือ เข้าถึงข้อมูลภายในเร็ว ถ้ารู้ index
ข้อเสีย Fix Size</t>
        </is>
      </c>
      <c r="G96" s="6" t="n">
        <v>1</v>
      </c>
      <c r="H96" s="19" t="n">
        <v>1</v>
      </c>
      <c r="I96" s="19" t="n">
        <v>0</v>
      </c>
      <c r="J96" s="20" t="inlineStr">
        <is>
          <t>[สำหรับผู้สอน] ผู้เรียนตอบครบถ้วนทั้งสองส่วนตามเกณฑ์ rubric:
1. ด้านความแตกต่าง (0.50 คะแนน): อธิบายชัดเจนว่า Array มีขนาดคงที่ (Static) ต้องระบุขนาดล่วงหน้า ส่วน Linked List มีขนาดแบบ Dynamic ยืดหดพื้นที่ได้ตามการใช้งานจริง
2. ด้านข้อดีและข้อเสีย (0.50 คะแนน): มีการระบุทั้งข้อดีและข้อเสียของทั้ง Linked List (ไม่ fix size / เข้าถึงช้า) และ Array (เข้าถึงเร็วถ้ารู้ index / fix size) ถูกต้องตามหลักการทางวิชาการ รวมได้คะแนนเต็ม 1.0 คะแนน
[สำหรับนักเรียน] ตอบได้ถูกต้องและครบถ้วนมากครับ ทั้งการเปรียบเทียบความแตกต่างด้านขนาดและการจัดการหน่วยความจำ (Static vs Dynamic) รวมถึงการสรุปข้อดีและข้อเสียของแต่ละโครงสร้างข้อมูลได้อย่างชัดเจนและตรงประเด็น</t>
        </is>
      </c>
    </row>
    <row r="97" ht="52" customHeight="1">
      <c r="A97" s="6" t="inlineStr">
        <is>
          <t>DS-092</t>
        </is>
      </c>
      <c r="B97" s="6" t="n">
        <v>3</v>
      </c>
      <c r="C97" s="6" t="inlineStr">
        <is>
          <t>text</t>
        </is>
      </c>
      <c r="D97" s="7" t="inlineStr">
        <is>
          <t>การใช้ลิ้งค์ลิสต์เป็นสแตกและคิวจะแตกต่างจากการใช้อาร์เรย์อย่างไร และมีข้อดีข้อเสียอย่างไร</t>
        </is>
      </c>
      <c r="E97" s="6" t="inlineStr">
        <is>
          <t>text</t>
        </is>
      </c>
      <c r="F97" s="7" t="inlineStr">
        <is>
          <t>ข้อดีของการใช้ link-list ทำให้ไม่ต้องกลัวขนาด Array เต็ม
ข้อเสีย ค้นหา ช้ากว่า</t>
        </is>
      </c>
      <c r="G97" s="6" t="n">
        <v>0.5</v>
      </c>
      <c r="H97" s="19" t="n">
        <v>0.5</v>
      </c>
      <c r="I97" s="19" t="n">
        <v>0</v>
      </c>
      <c r="J97" s="20" t="inlineStr">
        <is>
          <t>[สำหรับผู้สอน] นักเรียนไม่ได้ตอบส่วนของความแตกต่างเชิงโครงสร้างหรือกลไกการทำงานของ Stack/Queue โดยตรง (0.00 คะแนน) แต่ได้ระบุข้อดี (ไม่ต้องกลัวขนาดเต็ม/ยืดหยุ่น) และข้อเสีย (ค้นหาช้ากว่า/เข้าถึงช้า) ของ Linked List เมื่อเทียบกับ Array ได้อย่างถูกต้องและครบถ้วนทั้งสองด้าน จึงได้คะแนนในส่วนข้อดี-ข้อเสียเต็ม (0.50 คะแนน) รวมได้ 0.50 คะแนน
[สำหรับนักเรียน] คุณระบุข้อดีและข้อเสียของการใช้ Linked List เปรียบเทียบกับ Array ได้ถูกต้อง (ข้อดีคือขนาด dynamic ไม่ต้องกังวลเรื่องขนาดเต็ม และข้อเสียคือการเข้าถึง/ค้นหาข้อมูลช้ากว่า Array) อย่างไรก็ตาม ขาดการตอบในส่วนของ 'ความแตกต่าง' เชิงโครงสร้างหรือกลไกการทำงานของ Stack (LIFO) และ Queue (FIFO) เพื่อให้ตอบได้ครบถ้วนตามที่โจทย์ถาม</t>
        </is>
      </c>
    </row>
    <row r="98" ht="96" customHeight="1">
      <c r="A98" s="6" t="inlineStr">
        <is>
          <t>DS-093</t>
        </is>
      </c>
      <c r="B98" s="6" t="n">
        <v>3</v>
      </c>
      <c r="C98" s="6" t="inlineStr">
        <is>
          <t>text</t>
        </is>
      </c>
      <c r="D98" s="7" t="inlineStr">
        <is>
          <t>การใช้ลิ้งค์ลิสต์เป็นสแตกและคิวจะแตกต่างจากการใช้อาร์เรย์อย่างไร และมีข้อดีข้อเสียอย่างไร</t>
        </is>
      </c>
      <c r="E98" s="6" t="inlineStr">
        <is>
          <t>text</t>
        </is>
      </c>
      <c r="F98" s="7" t="inlineStr">
        <is>
          <t>การใช้ลิ้งค์ลิสต์เป็นสแตกและคิวนั้นจะทำให้การเข้าถึงตำแหน่ง ช้ากว่าอาร์เรย์
แต่การ insert และ Delete ไวกว่าอาร์เรย์ และการใช้ลิ้งค์ลิสต์จะสามารถเพิ่มขนาดพื้นที่เก็บข้อมูลได้ (Dynamic)
ต่างจากอาร์เรย์เป็นแบบ Fixed Sized</t>
        </is>
      </c>
      <c r="G98" s="6" t="n">
        <v>0.5</v>
      </c>
      <c r="H98" s="19" t="n">
        <v>1</v>
      </c>
      <c r="I98" s="19" t="n">
        <v>0.5</v>
      </c>
      <c r="J98" s="20" t="inlineStr">
        <is>
          <t>[สำหรับผู้สอน] ผู้เรียนตอบได้ครบถ้วนตามเกณฑ์ทั้งสองส่วน:
1. ความแตกต่าง: ระบุชัดเจนว่า Linked List สามารถเพิ่มขนาดพื้นที่เก็บข้อมูลได้ (Dynamic) ต่างจาก Array ที่เป็นแบบ Fixed Size ได้รับ 0.50 คะแนน
2. ข้อดีและข้อเสีย: มีการระบุทั้งสองด้าน คือ ข้อเสีย (การเข้าถึงตำแหน่งช้ากว่าอาร์เรย์) และข้อดี (การ insert และ delete ไวกว่า และปรับขนาดได้ยืดหยุ่น) ได้รับ 0.50 คะแนน
รวมคะแนน 1.00 คะแนนเต็ม
[สำหรับนักเรียน] คำตอบยอดเยี่ยมและถูกต้องครบถ้วนครับ คุณได้อธิบายทั้งความแตกต่างในเชิงโครงสร้างพื้นที่จัดเก็บ (Dynamic size vs Fixed size) รวมถึงระบุทั้งข้อดี (การแทรก/ลบข้อมูลทำได้รวดเร็วกว่า ขยายขนาดได้) และข้อเสีย (การเข้าถึงข้อมูลแบบสุ่มหรือตามตำแหน่งทำได้ช้ากว่าอาร์เรย์) ได้อย่างชัดเจน</t>
        </is>
      </c>
    </row>
    <row r="99" ht="184" customHeight="1">
      <c r="A99" s="6" t="inlineStr">
        <is>
          <t>DS-094</t>
        </is>
      </c>
      <c r="B99" s="6" t="n">
        <v>3</v>
      </c>
      <c r="C99" s="6" t="inlineStr">
        <is>
          <t>text</t>
        </is>
      </c>
      <c r="D99" s="7" t="inlineStr">
        <is>
          <t>การใช้ลิ้งค์ลิสต์เป็นสแตกและคิวจะแตกต่างจากการใช้อาร์เรย์อย่างไร และมีข้อดีข้อเสียอย่างไร</t>
        </is>
      </c>
      <c r="E99" s="6" t="inlineStr">
        <is>
          <t>text</t>
        </is>
      </c>
      <c r="F99" s="7" t="inlineStr">
        <is>
          <t>ต่างเพราะ linked list เป็น Dynamic ทำให้ขยายจำนวนสมาชิกได้
ต่างจาก Array ที่เป็น Static ทำให้ข้อมูลถูกจำกัดด้วยขนาดของ Array
ข้อดี ของ linked list สามารถขยายจำนวนสมาชิกได้
ข้อเสีย การท่องใน linked list ต้องเริ่มจาก head ทำให้การเข้าถึงข้อมูลลำบาก
ข้อดี Array เข้าถึงข้อมูลจาก Index ได้ ขนาดแน่นอนกว่า
ข้อเสีย ถูกจำกัดด้วยขนาดของ Array</t>
        </is>
      </c>
      <c r="G99" s="6" t="n">
        <v>1</v>
      </c>
      <c r="H99" s="19" t="n">
        <v>1</v>
      </c>
      <c r="I99" s="19" t="n">
        <v>0</v>
      </c>
      <c r="J99" s="20" t="inlineStr">
        <is>
          <t>[สำหรับผู้สอน] นักเรียนตอบได้ครบถ้วนและถูกต้องตามเกณฑ์ทั้งสองส่วน:
1. ความแตกต่าง (0.50 คะแนน): อธิบายความแตกต่างด้านโครงสร้างและขนาดระหว่าง Dynamic (Linked List) และ Static/Fixed size (Array) ได้ชัดเจน
2. ข้อดี/ข้อเสีย (0.50 คะแนน): ระบุข้อดีและข้อเสียครบถ้วนทั้งสองฝั่ง (Linked List: ข้อดีขยายได้ ข้อเสียเข้าถึงช้าต้องเริ่มจาก head / Array: ข้อดีเข้าถึงผ่าน index ได้เร็ว ข้อเสียขนาดจำกัด)
[สำหรับนักเรียน] คำตอบยอดเยี่ยมมากครับ คุณอธิบายความแตกต่างเชิงโครงสร้างระหว่าง Dynamic ของ Linked List และ Static ของ Array ได้อย่างถูกต้อง พร้อมทั้งระบุข้อดีและข้อเสียของการเข้าถึงข้อมูล (Random Access via Index vs Sequential Access via Head) และข้อจำกัดเรื่องขนาดข้อมูลได้อย่างสมบูรณ์</t>
        </is>
      </c>
    </row>
    <row r="100" ht="74" customHeight="1">
      <c r="A100" s="6" t="inlineStr">
        <is>
          <t>DS-095</t>
        </is>
      </c>
      <c r="B100" s="6" t="n">
        <v>3</v>
      </c>
      <c r="C100" s="6" t="inlineStr">
        <is>
          <t>text</t>
        </is>
      </c>
      <c r="D100" s="7" t="inlineStr">
        <is>
          <t>การใช้ลิ้งค์ลิสต์เป็นสแตกและคิวจะแตกต่างจากการใช้อาร์เรย์อย่างไร และมีข้อดีข้อเสียอย่างไร</t>
        </is>
      </c>
      <c r="E100" s="6" t="inlineStr">
        <is>
          <t>text</t>
        </is>
      </c>
      <c r="F100" s="7" t="inlineStr">
        <is>
          <t>ตอบ แตกต่างตรงที่ลิ้งค์ลิสต์มีการแยก key ออกมาและเชื่อมต่อกัน
พร้อมจัดเรียงข้อมูลเสร็จสับ ข้อดีคือ เร็ว ข้อเสีย เสียทรัพยากรโดยเปล่าประโยชน์</t>
        </is>
      </c>
      <c r="G100" s="6" t="n">
        <v>0.5</v>
      </c>
      <c r="H100" s="19" t="n">
        <v>0</v>
      </c>
      <c r="I100" s="19" t="n">
        <v>-0.5</v>
      </c>
      <c r="J100" s="20" t="inlineStr">
        <is>
          <t>[สำหรับผู้สอน] ผู้เรียนตอบว่า 'แตกต่างตรงที่ลิ้งค์ลิสต์มีการแยก key ออกมาและเชื่อมต่อกัน พร้อมจัดเรียงข้อมูลเสร็จสับ ข้อดีคือ เร็ว ข้อเสีย เสียทรัพยากรโดยเปล่าประโยชน์' ซึ่งไม่ถูกต้องตามหลักการทางเทคนิคของ Linked List, Stack, Queue หรือ Array: 1) ความแตกต่าง: ลิ้งค์ลิสต์ไม่ได้ทำการจัดเรียงข้อมูลในตัวโดยอัตโนมัติ และไม่ได้อธิบายถึงเรื่องขนาด (Fixed vs Dynamic) หรือกลไกการทำงานของ Stack/Queue (LIFO/FIFO) แต่อย่างใด จัดเป็นเนื้อหาที่ผิดหลักการ (0.00 คะแนน) 2) ข้อดี/ข้อเสีย: ระบุเพียงสั้นๆ ลอยๆ ว่า 'เร็ว' และ 'เสียทรัพยากรโดยเปล่าประโยชน์' โดยไม่ระบุบริบทว่าอะไรเร็ว หรือเสียทรัพยากรอย่างไร ไม่ตรงกับลักษณะเฉพาะทางเทคนิคของโครงสร้างข้อมูล (0.00 คะแนน) รวมได้ 0.00 คะแนน
[สำหรับนักเรียน] คำตอบยังไม่ถูกต้องตามหลักการของโครงสร้างข้อมูลครับ
1. ความแตกต่าง: ลิงก์ลิสต์ (Linked List) จะมีความยืดหยุ่นในการปรับขนาดข้อมูลได้แบบไดนามิก (Dynamic size) ต่างจากอาร์เรย์ (Array) ที่มีขนาดคงที่ (Fixed size) หรือสามารถอธิบายผ่านกลไก Stack (LIFO) และ Queue (FIFO) ได้ ลิงก์ลิสต์ไม่ได้มีการจัดเรียงข้อมูลอัตโนมัติ
2. ข้อดี/ข้อเสีย: ควรระบุให้ชัดเจน เช่น การใช้ลิงก์ลิสต์มีข้อดีคือไม่ต้องกังวลเรื่องขนาดข้อมูลล้น (overflow) เพิ่ม/ลดขนาดได้ง่าย แต่มีข้อเสียคือสิ้นเปลืองหน่วยความจำในการเก็บพอยน์เตอร์ (Pointer) และเข้าถึงข้อมูลแบบสุ่มไม่ได้ เป็นต้น</t>
        </is>
      </c>
    </row>
    <row r="101" ht="96" customHeight="1">
      <c r="A101" s="6" t="inlineStr">
        <is>
          <t>DS-096</t>
        </is>
      </c>
      <c r="B101" s="6" t="n">
        <v>3</v>
      </c>
      <c r="C101" s="6" t="inlineStr">
        <is>
          <t>text</t>
        </is>
      </c>
      <c r="D101" s="7" t="inlineStr">
        <is>
          <t>การใช้ลิ้งค์ลิสต์เป็นสแตกและคิวจะแตกต่างจากการใช้อาร์เรย์อย่างไร และมีข้อดีข้อเสียอย่างไร</t>
        </is>
      </c>
      <c r="E101" s="6" t="inlineStr">
        <is>
          <t>text</t>
        </is>
      </c>
      <c r="F101" s="7" t="inlineStr">
        <is>
          <t>Stack จะเป็นการเข้าหลังออกก่อน
Queue จะเป็นการเข้าก่อนออกก่อน
ต่างจาก Array คือ Array จะเป็นการกำหนดขนาดแบบคงที่
ส่วน Linked List เป็นแบบ dynamic หรือประมาณว่าจะใช้ค่อยเรียก
ข้อดี ใช้พื้นที่ได้เรื่อย ๆ โดยไม่จำกัดขนาด</t>
        </is>
      </c>
      <c r="G101" s="6" t="n">
        <v>0.75</v>
      </c>
      <c r="H101" s="19" t="n">
        <v>0.75</v>
      </c>
      <c r="I101" s="19" t="n">
        <v>0</v>
      </c>
      <c r="J101" s="20" t="inlineStr">
        <is>
          <t>[สำหรับผู้สอน] ผู้เรียนตอบในส่วนความแตกต่างได้ครบถ้วน ทั้งกลไกของ Stack/Queue (LIFO/FIFO) และความแตกต่างด้านขนาดระหว่าง Array (คงที่) กับ Linked List (Dynamic) จึงได้ 0.50 คะแนนเต็มในส่วนแรก สำหรับส่วนข้อดีและข้อเสีย ผู้เรียนระบุเฉพาะข้อดีเรื่องการใช้พื้นที่ได้เรื่อยๆ โดยไม่จำกัดขนาด แต่ไม่ได้ระบุข้อเสียมาด้วย จึงได้ 0.25 คะแนน รวมเป็น 0.75 คะแนน
[สำหรับนักเรียน] คำตอบในส่วนของการเปรียบเทียบความแตกต่างระหว่าง Stack, Queue, Array และ Linked List ทำได้ดีและถูกต้องชัดเจนมาก รวมถึงระบุข้อดีเรื่องความยืดหยุ่นของขนาด (Dynamic size) ได้ถูกต้อง อย่างไรก็ตาม ขาดการระบุ 'ข้อเสีย' (เช่น เปลืองหน่วยความจำสำหรับเก็บ Pointer หรือการเข้าถึงข้อมูลแบบสุ่มทำไม่ได้โดยตรง) จึงได้คะแนนในส่วนข้อดี/ข้อเสียไปเพียงบางส่วนครับ</t>
        </is>
      </c>
    </row>
    <row r="102" ht="140" customHeight="1">
      <c r="A102" s="6" t="inlineStr">
        <is>
          <t>DS-097</t>
        </is>
      </c>
      <c r="B102" s="6" t="n">
        <v>3</v>
      </c>
      <c r="C102" s="6" t="inlineStr">
        <is>
          <t>text</t>
        </is>
      </c>
      <c r="D102" s="7" t="inlineStr">
        <is>
          <t>การใช้ลิ้งค์ลิสต์เป็นสแตกและคิวจะแตกต่างจากการใช้อาร์เรย์อย่างไร และมีข้อดีข้อเสียอย่างไร</t>
        </is>
      </c>
      <c r="E102" s="6" t="inlineStr">
        <is>
          <t>text</t>
        </is>
      </c>
      <c r="F102" s="7" t="inlineStr">
        <is>
          <t>อาเรย์จะต้องกำหนดข้อมูลพื้นที่ให้แน่ชัด
ลิ้งค์ลิสต์สามารถเพิ่ม-ลดได้ทุกเมื่อ
ข้อดี - อาเรย์ ประหยัดพื้นที่ หรือหน่วยความจำ
ข้อเสีย ต้องกำหนดค่าในการใช้อาเรย์อยู่ตลอด
ข้อดี - ลิ้งค์ลิสต์ ใช้ข้อมูลได้ตามที่ต้องการ
ข้อเสีย ใช้พื้นที่เยอะ</t>
        </is>
      </c>
      <c r="G102" s="6" t="n">
        <v>0.5</v>
      </c>
      <c r="H102" s="19" t="n">
        <v>1</v>
      </c>
      <c r="I102" s="19" t="n">
        <v>0.5</v>
      </c>
      <c r="J102" s="20" t="inlineStr">
        <is>
          <t>[สำหรับผู้สอน] ผู้เรียนตอบครบทั้งสองส่วนตามเกณฑ์ rubric:
1. ด้านความแตกต่าง (0.50 คะแนน): อธิบายได้ถูกต้องว่า Array ต้องกำหนดขนาดพื้นที่ให้แน่ชัด ส่วน Linked List สามารถเพิ่ม-ลดขนาดได้แบบพลวัต
2. ด้านข้อดี-ข้อเสีย (0.50 คะแนน): มีการระบุทั้งข้อดีและข้อเสียของทั้งสองโครงสร้างอย่างสมเหตุสมผล โดยระบุว่า Array ประหยัดพื้นที่แต่ต้องกำหนดขนาดล่วงหน้า ส่วน Linked List ใช้งานได้ยืดหยุ่นตามต้องการแต่ใช้พื้นที่จัดเก็บมากกว่า (เนื่องจาก pointer)
รวมได้ 1.00 คะแนนเต็ม
[สำหรับนักเรียน] คำตอบถูกต้องและครบถ้วนมากครับ ทั้งการระบุความแตกต่างระหว่าง Array ที่ต้องจองขนาดล่วงหน้าและ Linked List ที่ปรับขนาดเพิ่ม-ลดได้อย่างยืดหยุ่น รวมถึงการบอกข้อดี-ข้อเสียเรื่องการจัดการหน่วยความจำของทั้งสองแบบได้อย่างชัดเจน</t>
        </is>
      </c>
    </row>
    <row r="103" ht="96" customHeight="1">
      <c r="A103" s="6" t="inlineStr">
        <is>
          <t>DS-098</t>
        </is>
      </c>
      <c r="B103" s="6" t="n">
        <v>3</v>
      </c>
      <c r="C103" s="6" t="inlineStr">
        <is>
          <t>text</t>
        </is>
      </c>
      <c r="D103" s="7" t="inlineStr">
        <is>
          <t>การใช้ลิ้งค์ลิสต์เป็นสแตกและคิวจะแตกต่างจากการใช้อาร์เรย์อย่างไร และมีข้อดีข้อเสียอย่างไร</t>
        </is>
      </c>
      <c r="E103" s="6" t="inlineStr">
        <is>
          <t>text</t>
        </is>
      </c>
      <c r="F103" s="7" t="inlineStr">
        <is>
          <t>ทำงานเป็นลำดับ เพิ่ม ลบ เพิ่มขนาดการเก็บข้อมูลได้ ต่างจากอาร์เรย์
ที่ช่องเก็บข้อมูลจะมีขนาดตามที่เรากำหนดไม่สามารถขยายได้
ข้อดี ทำงานได้อิสระมากกว่าอาร์เรย์
ข้อเสีย ทำงานตามลำดับ</t>
        </is>
      </c>
      <c r="G103" s="6" t="n">
        <v>0.5</v>
      </c>
      <c r="H103" s="19" t="n">
        <v>0.5</v>
      </c>
      <c r="I103" s="19" t="n">
        <v>0</v>
      </c>
      <c r="J103" s="20" t="inlineStr">
        <is>
          <t>[สำหรับผู้สอน] ผู้เรียนสามารถอธิบายความแตกต่างเชิงโครงสร้างได้ถูกต้อง (Linked list ขยายขนาดได้ ต่างจาก array ที่มีขนาดตายตัวตามที่กำหนดขยายไม่ได้) ได้ 0.50 คะแนน แต่ในส่วนของการระบุข้อดีและข้อเสีย ผู้เรียนระบุ 'ข้อดี ทำงานได้อิสระมากกว่าอาร์เรย์' และ 'ข้อเสีย ทำงานตามลำดับ' ซึ่งไม่ตรงกับหลักการทางเทคนิค ไม่ชัดเจนและกำกวม (เช่น ไม่ได้ระบุเรื่อง memory overhead, pointer, หรือการเข้าถึงข้อมูลแบบ random access/ลำดับเวลา) จึงไม่ได้คะแนนในส่วนข้อดี/ข้อเสีย รวมได้ 0.50 คะแนน
[สำหรับนักเรียน] คุณสามารถอธิบายความแตกต่างเรื่องขนาดของข้อมูลระหว่าง ลิงก์ลิสต์ (ขยายขนาดได้) กับ อาร์เรย์ (ขนาดคงที่ตามที่กำหนด) ได้ถูกต้อง แต่ในส่วนของข้อดีและข้อเสีย ควรระบุให้ตรงตามหลักการของโครงสร้างข้อมูล เช่น ข้อดีของลิงก์ลิสต์คือขนาดที่ยืดหยุ่นและการแทรก/ลบข้อมูลทำได้สะดวก ส่วนข้อเสียคือต้องเสียพื้นที่หน่วยความจำเพิ่มเติมสำหรับเก็บพอยน์เตอร์ (Pointer) และไม่สามารถเข้าถึงข้อมูลแบบสุ่ม (Random access) ได้ทันทีเหมือนอาร์เรย์</t>
        </is>
      </c>
    </row>
    <row r="104" ht="52" customHeight="1">
      <c r="A104" s="6" t="inlineStr">
        <is>
          <t>DS-099</t>
        </is>
      </c>
      <c r="B104" s="6" t="n">
        <v>3</v>
      </c>
      <c r="C104" s="6" t="inlineStr">
        <is>
          <t>text</t>
        </is>
      </c>
      <c r="D104" s="7" t="inlineStr">
        <is>
          <t>การใช้ลิ้งค์ลิสต์เป็นสแตกและคิวจะแตกต่างจากการใช้อาร์เรย์อย่างไร และมีข้อดีข้อเสียอย่างไร</t>
        </is>
      </c>
      <c r="E104" s="6" t="inlineStr">
        <is>
          <t>text</t>
        </is>
      </c>
      <c r="F104" s="7" t="inlineStr">
        <is>
          <t>อาร์เรย์มันต้องกำหนด size ของ Array
Linked List สามารถเปลี่ยน size ระหว่างการทำงานได้</t>
        </is>
      </c>
      <c r="G104" s="6" t="n">
        <v>0</v>
      </c>
      <c r="H104" s="19" t="n">
        <v>0.5</v>
      </c>
      <c r="I104" s="19" t="n">
        <v>0.5</v>
      </c>
      <c r="J104" s="20" t="inlineStr">
        <is>
          <t>[สำหรับผู้สอน] ผู้เรียนตอบส่วนความแตกต่างได้ถูกต้องชัดเจนว่า Array ต้องกำหนดขนาด (Fixed size) ส่วน Linked List สามารถเปลี่ยนขนาดระหว่างการทำงานได้ (Dynamic size) จึงได้ 0.50 คะแนนในส่วนความแตกต่าง แต่ไม่ได้ระบุข้อดีและข้อเสียเพิ่มเติมตามที่โจทย์ถาม จึงได้ 0.00 คะแนนในส่วนข้อดี/ข้อเสีย รวมคะแนนได้ 0.50 คะแนน
[สำหรับนักเรียน] นักเรียนอธิบายความแตกต่างระหว่าง Array และ Linked List ในเรื่องขนาดของข้อมูลได้ถูกต้องแล้ว แต่ยังขาดการตอบเรื่อง 'ข้อดีและข้อเสีย' ของทั้งสองโครงสร้างข้อมูลตามที่โจทย์กำหนด เช่น Linked List มีข้อดีคือยืดหยุ่น แต่มีข้อเสียคือใช้หน่วยความจำเพิ่มสำหรับ pointer และเข้าถึงแบบสุ่มไม่ได้ เป็นต้น</t>
        </is>
      </c>
    </row>
    <row r="105" ht="140" customHeight="1">
      <c r="A105" s="6" t="inlineStr">
        <is>
          <t>DS-100</t>
        </is>
      </c>
      <c r="B105" s="6" t="n">
        <v>3</v>
      </c>
      <c r="C105" s="6" t="inlineStr">
        <is>
          <t>text</t>
        </is>
      </c>
      <c r="D105" s="7" t="inlineStr">
        <is>
          <t>การใช้ลิ้งค์ลิสต์เป็นสแตกและคิวจะแตกต่างจากการใช้อาร์เรย์อย่างไร และมีข้อดีข้อเสียอย่างไร</t>
        </is>
      </c>
      <c r="E105" s="6" t="inlineStr">
        <is>
          <t>text</t>
        </is>
      </c>
      <c r="F105" s="7" t="inlineStr">
        <is>
          <t>การใช้ลิสต์ ไม่แตกต่างมากเท่าไหร่ เพียงแต่การใช้
สแตกและคิวร่วมด้วยทำให้การจัดการและการทำงานยืดหยุ่นมากขึ้น
ข้อดี คือ สามารถปรับแต่งและเพิ่มขนาดของข้อมูลได้ตลอดเวลา
แต่ข้อเสียคือ จัดการยาก/เข้าถึงยาก
ข้อดีของอาเรย์คือ สามารถเข้าถึงข้อมูลได้ง่าย
ส่วนข้อเสีย ข้อมูลไม่ยืดหยุ่นหรือจำกัดข้อมูล จึงยากต่อการเพิ่มข้อมูล</t>
        </is>
      </c>
      <c r="G105" s="6" t="n">
        <v>0.5</v>
      </c>
      <c r="H105" s="19" t="n">
        <v>0.75</v>
      </c>
      <c r="I105" s="19" t="n">
        <v>0.25</v>
      </c>
      <c r="J105" s="20" t="inlineStr">
        <is>
          <t>[สำหรับผู้สอน] ผู้เรียนได้รับคะแนนรวม 0.75 จากเกณฑ์ดังนี้:
1. ด้านความแตกต่าง (0.25/0.50 คะแนน): ผู้เรียนระบุว่า 'ไม่แตกต่างมากเท่าไหร่ เพียงแต่การใช้สแตกและคิวร่วมด้วยทำให้การจัดการและการทำงานยืดหยุ่นมากขึ้น' ซึ่งเป็นการอธิบายความต่างได้เพียงบางส่วนและค่อนข้างกำกวม ไม่ได้ระบุความต่างเรื่อง Dynamic vs Fixed size หรือ LIFO/FIFO อย่างชัดเจนตั้งแต่แรก จึงได้ 0.25 คะแนนตามเกณฑ์
2. ด้านข้อดีและข้อเสีย (0.50/0.50 คะแนน): มีการระบุข้อดีและข้อเสียของทั้ง Linked List (ปรับขนาดได้ตลอดเวลา vs เข้าถึงยาก/จัดการยาก) และ Array (เข้าถึงง่าย vs ไม่ยืดหยุ่น/จำกัดขนาด/เพิ่มข้อมูลยาก) อย่างครบถ้วนและสมเหตุสมผลตามหลักการ ได้คะแนนเต็มในส่วนนี้
[สำหรับนักเรียน] คุณระบุข้อดีและข้อเสียของ Linked List และ Array ได้อย่างถูกต้องและชัดเจนมาก (เช่น Linked List ปรับขนาดได้แต่เข้าถึงยาก ส่วน Array เข้าถึงได้เร็วแต่ขนาดคงที่) อย่างไรก็ตาม ในส่วนของการอธิบายความแตกต่างเชิงโครงสร้างและกลไก ควรระบุให้ชัดเจนตั้งแต่แรก เช่น ขนาดของ Array มีขนาดคงที่ (Fixed size) ส่วน Linked List เป็นแบบยืดหยุ่น (Dynamic size) และอาจกล่าวถึงหลักการทำงานแบบ LIFO (Stack) หรือ FIFO (Queue) เพิ่มเติมเพื่อให้คำตอบสมบูรณ์ยิ่งขึ้นครับ</t>
        </is>
      </c>
    </row>
    <row r="106" ht="74" customHeight="1">
      <c r="A106" s="6" t="inlineStr">
        <is>
          <t>DS-101</t>
        </is>
      </c>
      <c r="B106" s="6" t="n">
        <v>3</v>
      </c>
      <c r="C106" s="6" t="inlineStr">
        <is>
          <t>text</t>
        </is>
      </c>
      <c r="D106" s="7" t="inlineStr">
        <is>
          <t>การใช้ลิ้งค์ลิสต์เป็นสแตกและคิวจะแตกต่างจากการใช้อาร์เรย์อย่างไร และมีข้อดีข้อเสียอย่างไร</t>
        </is>
      </c>
      <c r="E106" s="6" t="inlineStr">
        <is>
          <t>text</t>
        </is>
      </c>
      <c r="F106" s="7" t="inlineStr">
        <is>
          <t>ต่างกันตรงที่ลิ้งลิสต์ไม่ต้องประกาศขนาด มีเท่าไหร่ใช้เท่านั้น
ข้อดี - ใช้พื้นที่เท่าที่จำเป็น
ข้อเสีย - ไม่มีขนาดที่แน่ชัด</t>
        </is>
      </c>
      <c r="G106" s="6" t="n">
        <v>1</v>
      </c>
      <c r="H106" s="19" t="n">
        <v>0.75</v>
      </c>
      <c r="I106" s="19" t="n">
        <v>-0.25</v>
      </c>
      <c r="J106" s="20" t="inlineStr">
        <is>
          <t>[สำหรับผู้สอน] 1. ด้านความแตกต่าง (0.50/0.50): ผู้เรียนอธิบายความแตกต่างด้านขนาดได้ถูกต้องว่า 'ลิ้งลิสต์ไม่ต้องประกาศขนาด มีเท่าไหร่ใช้เท่านั้น' ซึ่งสื่อถึงลักษณะ Dynamic size ของ Linked List เทียบกับ Array ที่ต้องระบุขนาดล่วงหน้า ให้ 0.50 คะแนน
2. ด้านข้อดี/ข้อเสีย (0.25/0.50): มีการระบุข้อดีเรื่อง 'ใช้พื้นที่เท่าที่จำเป็น' ซึ่งสมเหตุสมผล แต่ในส่วนข้อเสียระบุว่า 'ไม่มีขนาดที่แน่ชัด' ซึ่งยังไม่ถือเป็นข้อเสียเชิงเทคนิคที่ชัดเจนของ Linked List (เช่น เปลืองหน่วยความจำสำหรับเก็บ pointer หรือไม่สามารถเข้าถึงข้อมูลแบบสุ่มได้เหมือน Array) จึงให้คะแนนเฉพาะข้อดี 0.25 คะแนน รวมได้ 0.75 คะแนน
[สำหรับนักเรียน] คำตอบของคุณอธิบายความแตกต่างในเรื่องการจัดการขนาดข้อมูลและการจองพื้นที่หน่วยความจำได้ดีมาก รวมถึงระบุข้อดีเรื่องการใช้พื้นที่เท่าที่จำเป็นได้ถูกต้อง สำหรับข้อเสีย ควรระบุประเด็นเชิงเทคนิคให้ชัดเจน เช่น Linked List ต้องใช้หน่วยความจำเพิ่มขึ้นในการเก็บตัวชี้ (Pointer) ของแต่ละโหนด หรือการเข้าถึงข้อมูลไม่สามารถเข้าถึงโดยตรงแบบ Random Access เหมือน Array ได้</t>
        </is>
      </c>
    </row>
    <row r="107" ht="74" customHeight="1">
      <c r="A107" s="6" t="inlineStr">
        <is>
          <t>DS-102</t>
        </is>
      </c>
      <c r="B107" s="6" t="n">
        <v>3</v>
      </c>
      <c r="C107" s="6" t="inlineStr">
        <is>
          <t>text</t>
        </is>
      </c>
      <c r="D107" s="7" t="inlineStr">
        <is>
          <t>การใช้ลิ้งค์ลิสต์เป็นสแตกและคิวจะแตกต่างจากการใช้อาร์เรย์อย่างไร และมีข้อดีข้อเสียอย่างไร</t>
        </is>
      </c>
      <c r="E107" s="6" t="inlineStr">
        <is>
          <t>text</t>
        </is>
      </c>
      <c r="F107" s="7" t="inlineStr">
        <is>
          <t>แตกต่างกันที่ การใช้อาร์เรย์ปกติเสี่ยงที่จะเกิด Error มากกว่าการใช้ลิ้งค์ลิสต์
เพราะการทำลิ้งค์ลิสต์ทำให้ข้อมูลที่เก็บลงใน Array ได้เห็นภาพมากกว่า
ข้อดี ทำให้เห้นวิธีเก็บข้อมูลลง Array
ข้อเสีย ช้า</t>
        </is>
      </c>
      <c r="G107" s="6" t="n">
        <v>0</v>
      </c>
      <c r="H107" s="19" t="n">
        <v>0.25</v>
      </c>
      <c r="I107" s="19" t="n">
        <v>0.25</v>
      </c>
      <c r="J107" s="20" t="inlineStr">
        <is>
          <t>[สำหรับผู้สอน] นิสิตระบุความแตกต่างไม่ถูกต้องตามหลักการโครงสร้างข้อมูล โดยอ้างว่า 'เสี่ยงที่จะเกิด Error มากกว่า' และ 'ทำให้ข้อมูลที่เก็บลงใน Array ได้เห็นภาพมากกว่า' ซึ่งสับสนระหว่าง Linked List กับ Array (ได้ 0.00 คะแนนในส่วนความแตกต่าง) ในส่วนข้อดี-ข้อเสีย มีการระบุข้อเสียว่า 'ช้า' ซึ่งเป็นข้อจำกัดที่ยอมรับได้ของการใช้ Linked List ในการเข้าถึงข้อมูลแบบ Sequential Access แต่ข้อดีที่ระบุ ('ทำให้เห้นวิธีเก็บข้อมูลลง Array') ไม่ถูกต้องตามหลักการ จึงถือว่าระบุข้อเสียได้อย่างเดียว ได้รับ 0.25 คะแนน รวมเป็น 0.25 คะแนน
[สำหรับนักเรียน] คำตอบยังมีความเข้าใจคลาดเคลื่อนระหว่างการทำงานของ Linked List และ Array ครับ ในด้านความแตกต่าง ควรเปรียบเทียบในเรื่องขนาดของข้อมูล (Array มีขนาดคงที่ ส่วน Linked List มีขนาดปรับเปลี่ยนได้ตามจริงแบบไดนามิก) หรือกลไกการเข้าถึงข้อมูลและการเพิ่ม/ลบ สำหรับข้อดี-ข้อเสีย Linked List มีข้อดีคือความยืดหยุ่นในการเพิ่ม/ลดขนาดและไม่ต้องจองพื้นที่ต่อเนื่อง ส่วนข้อเสียคือต้องเสียหน่วยความจำเพิ่มสำหรับ Pointer และการเข้าถึงข้อมูลทำได้ช้ากว่า Array เพราะต้องท่องไปตามโหนด</t>
        </is>
      </c>
    </row>
    <row r="108" ht="74" customHeight="1">
      <c r="A108" s="6" t="inlineStr">
        <is>
          <t>DS-103</t>
        </is>
      </c>
      <c r="B108" s="6" t="n">
        <v>4</v>
      </c>
      <c r="C108" s="6" t="inlineStr">
        <is>
          <t>text</t>
        </is>
      </c>
      <c r="D108" s="7" t="inlineStr">
        <is>
          <t>จากข้อมูลต่อไปนี้จงนำไปสร้างเป็น Binary search tree
9 16 10 76 5 13 58 92 11 15 80 99</t>
        </is>
      </c>
      <c r="E108" s="6" t="inlineStr">
        <is>
          <t>img</t>
        </is>
      </c>
      <c r="F108" s="8">
        <f>HYPERLINK("photo_clean_ชุดที่1/LINE_ALBUM_Photo1_260917_1.jpg","เปิดภาพคำตอบที่ลบคะแนนแล้ว")</f>
        <v/>
      </c>
      <c r="G108" s="6" t="n">
        <v>0</v>
      </c>
      <c r="H108" s="19" t="n">
        <v>0</v>
      </c>
      <c r="I108" s="19" t="inlineStr">
        <is>
          <t>HIGH</t>
        </is>
      </c>
      <c r="J108" s="20" t="inlineStr">
        <is>
          <t>[สำหรับผู้สอน]
นักเรียนวาดต้นไม้ตกหล่นโหนด 10 (มีโหนดเพียง 11 ตัวจากทั้งหมด 12 ตัว) โดยต่อโหนด 13 เป็นลูกซ้ายของ 16 โดยตรง ซึ่งขัดกับลำดับข้อมูลนำเข้าและโครงสร้างของ Binary Search Tree ที่ถูกต้อง (ใต้ 16 ทางซ้ายต้องเป็น 10 ก่อน แล้ว 13 เป็นลูกขวาของ 10) จึงไม่ผ่านเกณฑ์การให้คะแนน
[สำหรับนักเรียน]
คำตอบยังไม่ถูกต้องเนื่องจากขาดโหนด 10 ไป ทำให้โหนด 13 ไปเชื่อมต่อเป็นลูกทางซ้ายของ 16 โดยตรงตามลำดับข้อมูลที่ให้มา เมื่อแทรก 10 เข้ามา (10 &lt; 16) 10 จะต้องอยู่ใต้ 16 ทางซ้าย จากนั้นเมื่อแทรก 13 (13 &lt; 16 และ 13 &gt; 10) 13 จึงต้องเป็นลูกทางขวาของ 10 ครับ</t>
        </is>
      </c>
    </row>
    <row r="109" ht="74" customHeight="1">
      <c r="A109" s="6" t="inlineStr">
        <is>
          <t>DS-104</t>
        </is>
      </c>
      <c r="B109" s="6" t="n">
        <v>4</v>
      </c>
      <c r="C109" s="6" t="inlineStr">
        <is>
          <t>text</t>
        </is>
      </c>
      <c r="D109" s="7" t="inlineStr">
        <is>
          <t>จากข้อมูลต่อไปนี้จงนำไปสร้างเป็น Binary search tree
9 16 10 76 5 13 58 92 11 15 80 99</t>
        </is>
      </c>
      <c r="E109" s="6" t="inlineStr">
        <is>
          <t>img</t>
        </is>
      </c>
      <c r="F109" s="8">
        <f>HYPERLINK("photo_clean_ชุดที่1/LINE_ALBUM_Photo1_260917_2.jpg","เปิดภาพคำตอบที่ลบคะแนนแล้ว")</f>
        <v/>
      </c>
      <c r="G109" s="6" t="n">
        <v>1</v>
      </c>
      <c r="H109" s="19" t="n">
        <v>1</v>
      </c>
      <c r="I109" s="19" t="inlineStr">
        <is>
          <t>HIGH</t>
        </is>
      </c>
      <c r="J109" s="20" t="inlineStr">
        <is>
          <t>[สำหรับผู้สอน]
นักเรียนวาดโครงสร้าง Binary Search Tree ได้ถูกต้องสมบูรณ์ครบทั้ง 12 โหนดตามเฉลย:
- Root คือ 9 มีลูกซ้ายเป็น 5, ลูกขวาเป็น 16
- ใต้ 16: ซ้ายเป็น 10, ขวาเป็น 76
- ใต้ 10: ขวาเป็น 13
- ใต้ 13: ซ้ายเป็น 11, ขวาเป็น 15
- ใต้ 76: ซ้ายเป็น 58 (Leaf Node), ขวาเป็น 92
- ใต้ 92: ซ้ายเป็น 80, ขวาเป็น 99
การเชื่อมโยงของโหนด 13, 11, 15 และ 58 มีเจตนาของเส้นเชื่อมชัดเจนและถูกต้องตามเกณฑ์ทุกประการ จึงได้คะแนนเต็ม 1.00 คะแนน
[สำหรับนักเรียน]
ยอดเยี่ยมมากครับ คุณสร้าง Binary Search Tree ได้ถูกต้องสมบูรณ์ครบถ้วนทุกโหนด ทั้งตำแหน่งซ้าย-ขวาและการเชื่อมต่อถูกต้องตามหลักการทั้งหมดครับ</t>
        </is>
      </c>
    </row>
    <row r="110" ht="74" customHeight="1">
      <c r="A110" s="6" t="inlineStr">
        <is>
          <t>DS-105</t>
        </is>
      </c>
      <c r="B110" s="6" t="n">
        <v>4</v>
      </c>
      <c r="C110" s="6" t="inlineStr">
        <is>
          <t>text</t>
        </is>
      </c>
      <c r="D110" s="7" t="inlineStr">
        <is>
          <t>จากข้อมูลต่อไปนี้จงนำไปสร้างเป็น Binary search tree
9 16 10 76 5 13 58 92 11 15 80 99</t>
        </is>
      </c>
      <c r="E110" s="6" t="inlineStr">
        <is>
          <t>img</t>
        </is>
      </c>
      <c r="F110" s="8">
        <f>HYPERLINK("photo_clean_ชุดที่1/LINE_ALBUM_Photo1_260917_3.jpg","เปิดภาพคำตอบที่ลบคะแนนแล้ว")</f>
        <v/>
      </c>
      <c r="G110" s="6" t="n">
        <v>1</v>
      </c>
      <c r="H110" s="19" t="n">
        <v>1</v>
      </c>
      <c r="I110" s="19" t="inlineStr">
        <is>
          <t>HIGH</t>
        </is>
      </c>
      <c r="J110" s="20" t="inlineStr">
        <is>
          <t>[สำหรับผู้สอน]
นักเรียนวาดโครงสร้าง Binary Search Tree ได้ถูกต้องครบถ้วนทั้ง 12 โหนดตามเฉลย:
- Root คือ 9 มีลูกซ้ายเป็น 5, ลูกขวาเป็น 16
- ใต้ 16 มีลูกซ้ายเป็น 10, ลูกขวาเป็น 76
- ใต้ 10 มีลูกขวาเป็น 13
- ใต้ 13 มีลูกซ้ายเป็น 11, ลูกขวาเป็น 15
- ใต้ 76 มีลูกซ้ายเป็น 58, ลูกขวาเป็น 92
- ใต้ 92 มีลูกซ้ายเป็น 80, ลูกขวาเป็น 99
แม้ว่าจะมีรอยการร่างโครงสร้าง binary tree เปล่าๆ ทางฝั่งซ้ายและด้านล่าง แต่โครงสร้างหลักและเส้นเชื่อมของข้อมูลจริงถูกต้องสมบูรณ์ จึงได้ 1.00 คะแนนเต็มตามเกณฑ์การอนุโลม
[สำหรับนักเรียน]
ยอดเยี่ยมมากครับ โครงสร้าง Binary Search Tree (BST) ที่สร้างขึ้นถูกต้องสมบูรณ์ทุกโหนดและทุกเส้นเชื่อมตามลำดับข้อมูลที่กำหนดครับ</t>
        </is>
      </c>
    </row>
    <row r="111" ht="74" customHeight="1">
      <c r="A111" s="6" t="inlineStr">
        <is>
          <t>DS-106</t>
        </is>
      </c>
      <c r="B111" s="6" t="n">
        <v>4</v>
      </c>
      <c r="C111" s="6" t="inlineStr">
        <is>
          <t>text</t>
        </is>
      </c>
      <c r="D111" s="7" t="inlineStr">
        <is>
          <t>จากข้อมูลต่อไปนี้จงนำไปสร้างเป็น Binary search tree
9 16 10 76 5 13 58 92 11 15 80 99</t>
        </is>
      </c>
      <c r="E111" s="6" t="inlineStr">
        <is>
          <t>img</t>
        </is>
      </c>
      <c r="F111" s="8">
        <f>HYPERLINK("photo_clean_ชุดที่1/LINE_ALBUM_Photo1_260917_4.jpg","เปิดภาพคำตอบที่ลบคะแนนแล้ว")</f>
        <v/>
      </c>
      <c r="G111" s="6" t="n">
        <v>0</v>
      </c>
      <c r="H111" s="19" t="n">
        <v>0</v>
      </c>
      <c r="I111" s="19" t="inlineStr">
        <is>
          <t>HIGH</t>
        </is>
      </c>
      <c r="J111" s="20" t="inlineStr">
        <is>
          <t>[สำหรับผู้สอน]
นักเรียนวาดโครงสร้างผิดหลักการของ Binary Search Tree หลายตำแหน่งอย่างชัดเจนเมื่อเทียบกับภาพเฉลยมาตรฐาน:
1. ที่ Root (9): นักเรียนนำ 10 ไปไว้ทางซ้ายของ 9 (ซึ่ง 10 &gt; 9 ต้องอยู่ฝั่งขวา) และนำ 5 ไปต่อเป็นลูกซ้ายของ 10 (ซึ่ง 5 &lt; 9 ต้องเป็นลูกซ้ายของ 9 โดยตรง)
2. ใต้โหนด 13: นักเรียนต่อ 11 เป็นลูกซ้ายของ 13 แล้วนำ 15 ไปต่อเป็นลูกขวาของ 11 (ซึ่งผิดหลัก 15 &gt; 13 ต้องเป็นลูกขวาของ 13)
ตามเกณฑ์การให้คะแนน โครงสร้างผิดหลัก BST ได้ 0.00 คะแนน
[สำหรับนักเรียน]
โครงสร้าง Binary Search Tree (BST) ยังมีจุดที่ผิดหลักการดังนี้ครับ:
1. การเปรียบเทียบค่าที่ Root (9): ค่า 10 มากกว่า 9 ต้องไปอยู่ทางขวา ไม่ใช่ทางซ้าย และค่า 5 น้อยกว่า 9 ต้องเป็นลูกทางซ้ายของ 9 โดยตรงครับ
2. ตำแหน่งของ 15: ค่า 15 มากกว่า 13 ดังนั้น 15 จะต้องเป็นลูกทางขวาของโหนด 13 โดยตรง (ไม่ใช่ไปต่อใต้โหนด 11)
ข้อแนะนำ: ให้เริ่มแทรกข้อมูลทีละตัวตามลำดับที่โจทย์กำหนด (9 -&gt; 16 -&gt; 10 -&gt; ...) โดยเปรียบเทียบจาก Root ลงมาเสมอ ถ้าน้อยกว่าไปซ้าย ถ้ามากกว่าไปขวาครับ</t>
        </is>
      </c>
    </row>
    <row r="112" ht="74" customHeight="1">
      <c r="A112" s="6" t="inlineStr">
        <is>
          <t>DS-107</t>
        </is>
      </c>
      <c r="B112" s="6" t="n">
        <v>4</v>
      </c>
      <c r="C112" s="6" t="inlineStr">
        <is>
          <t>text</t>
        </is>
      </c>
      <c r="D112" s="7" t="inlineStr">
        <is>
          <t>จากข้อมูลต่อไปนี้จงนำไปสร้างเป็น Binary search tree
9 16 10 76 5 13 58 92 11 15 80 99</t>
        </is>
      </c>
      <c r="E112" s="6" t="inlineStr">
        <is>
          <t>img</t>
        </is>
      </c>
      <c r="F112" s="8">
        <f>HYPERLINK("photo_clean_ชุดที่1/LINE_ALBUM_Photo1_260917_5.jpg","เปิดภาพคำตอบที่ลบคะแนนแล้ว")</f>
        <v/>
      </c>
      <c r="G112" s="6" t="n">
        <v>0</v>
      </c>
      <c r="H112" s="19" t="n">
        <v>0</v>
      </c>
      <c r="I112" s="19" t="inlineStr">
        <is>
          <t>HIGH</t>
        </is>
      </c>
      <c r="J112" s="20" t="inlineStr">
        <is>
          <t>[สำหรับผู้สอน]
ผู้เรียนสร้างโครงสร้าง Binary Search Tree ผิดพลาดอย่างสิ้นเชิง โดยนำข้อมูลตัวที่สองคือ 16 มาตั้งเป็น Root แทนที่จะเป็น 9 ซึ่งเป็นข้อมูลตัวแรก นอกจากนี้การจัดวางโหนดใต้ 10 ยังผิดหลัก BST โดยนำ 11 ไปเป็นลูกซ้ายของ 10 (ซึ่ง 11 &gt; 10 จึงต้องอยู่ทางขวา) และนำ 15 ไปต่อใต้ 13 ทางซ้ายโดยตรง จึงไม่ตรงตามเกณฑ์และเฉลยอย่างชัดเจน ได้ 0.00 คะแนน
[สำหรับนักเรียน]
คำตอบยังไม่ถูกต้องครับ มีข้อผิดพลาดหลักดังนี้:
1. การสร้าง BST ต้องนำข้อมูลตัวแรกของลำดับเข้ามาก่อนเสมอ ในข้อนี้คือ 9 ซึ่งต้องทำหน้าที่เป็น Root Node แต่ในภาพนักเรียนนำ 16 ไปเป็น Root Node
2. การแทรกโหนดต้องเปรียบเทียบค่าตามกฎ BST (ค่าน้อยกว่าไปซ้าย ค่ามากกว่าไปขวา) เช่น 11 มีค่ามากกว่า 10 จึงไม่สามารถต่อเป็นกิ่งซ้ายของ 10 ได้ครับ</t>
        </is>
      </c>
    </row>
    <row r="113" ht="74" customHeight="1">
      <c r="A113" s="6" t="inlineStr">
        <is>
          <t>DS-108</t>
        </is>
      </c>
      <c r="B113" s="6" t="n">
        <v>4</v>
      </c>
      <c r="C113" s="6" t="inlineStr">
        <is>
          <t>text</t>
        </is>
      </c>
      <c r="D113" s="7" t="inlineStr">
        <is>
          <t>จากข้อมูลต่อไปนี้จงนำไปสร้างเป็น Binary search tree
9 16 10 76 5 13 58 92 11 15 80 99</t>
        </is>
      </c>
      <c r="E113" s="6" t="inlineStr">
        <is>
          <t>img</t>
        </is>
      </c>
      <c r="F113" s="8">
        <f>HYPERLINK("photo_clean_ชุดที่1/LINE_ALBUM_Photo1_260917_6.jpg","เปิดภาพคำตอบที่ลบคะแนนแล้ว")</f>
        <v/>
      </c>
      <c r="G113" s="6" t="n">
        <v>1</v>
      </c>
      <c r="H113" s="19" t="n">
        <v>1</v>
      </c>
      <c r="I113" s="19" t="inlineStr">
        <is>
          <t>HIGH</t>
        </is>
      </c>
      <c r="J113" s="20" t="inlineStr">
        <is>
          <t>[สำหรับผู้สอน]
นักเรียนวาดโครงสร้าง Binary Search Tree (BST) ได้ถูกต้องสมบูรณ์ครบทั้ง 12 โหนด:
- Root คือ 9 มีลูกซ้ายคือ 5, ลูกขวาคือ 16
- ใต้ 16 มีลูกซ้ายคือ 10, ลูกขวาคือ 76
- ใต้ 10 มีลูกขวาคือ 13
- ใต้ 13 มีลูกซ้ายคือ 11, ลูกขวาคือ 15
- ใต้ 76 มีลูกซ้ายคือ 58 (เป็น leaf node), ลูกขวาคือ 92
- ใต้ 92 มีลูกซ้ายคือ 80, ลูกขวาคือ 99
การเชื่อมโยงของโหนด 13 ไปยัง 11 และ 15 ถูกต้องชัดเจน ไม่ได้ต่อมาจาก 58 ตามเกณฑ์การให้คะแนนทุกประการ จึงได้คะแนนเต็ม 1.00 คะแนน
[สำหรับนักเรียน]
ยอดเยี่ยมมากครับ โครงสร้างของ Binary Search Tree ถูกต้องครบถ้วนทุกโหนด ทั้งความสัมพันธ์ซ้าย-ขวาและการเชื่อมโยงของกิ่งต่างๆ สามารถแสดงลำดับการแทรกข้อมูลได้อย่างถูกต้องสมบูรณ์</t>
        </is>
      </c>
    </row>
    <row r="114" ht="74" customHeight="1">
      <c r="A114" s="6" t="inlineStr">
        <is>
          <t>DS-109</t>
        </is>
      </c>
      <c r="B114" s="6" t="n">
        <v>4</v>
      </c>
      <c r="C114" s="6" t="inlineStr">
        <is>
          <t>text</t>
        </is>
      </c>
      <c r="D114" s="7" t="inlineStr">
        <is>
          <t>จากข้อมูลต่อไปนี้จงนำไปสร้างเป็น Binary search tree
9 16 10 76 5 13 58 92 11 15 80 99</t>
        </is>
      </c>
      <c r="E114" s="6" t="inlineStr">
        <is>
          <t>img</t>
        </is>
      </c>
      <c r="F114" s="8">
        <f>HYPERLINK("photo_clean_ชุดที่1/LINE_ALBUM_Photo1_260917_7.jpg","เปิดภาพคำตอบที่ลบคะแนนแล้ว")</f>
        <v/>
      </c>
      <c r="G114" s="6" t="n">
        <v>1</v>
      </c>
      <c r="H114" s="19" t="n">
        <v>1</v>
      </c>
      <c r="I114" s="19" t="inlineStr">
        <is>
          <t>HIGH</t>
        </is>
      </c>
      <c r="J114" s="20" t="inlineStr">
        <is>
          <t>[สำหรับผู้สอน]
นักเรียนวาดโครงสร้าง Binary Search Tree ได้ถูกต้องสมบูรณ์ครบทั้ง 12 โหนดตามเฉลยและเกณฑ์ rubric: Root คือ 9 มีลูกซ้าย 5 และขวา 16; ใต้ 16 มีซ้าย 10 และขวา 76; ใต้ 10 มีลูกขวาคือ 13; ใต้ 13 มีลูกซ้ายคือ 11 และลูกขวาคือ 15; ใต้ 76 มีลูกซ้ายคือ 58 (เป็น Leaf Node ชัดเจน) และลูกขวาคือ 92; ใต้ 92 มีลูกซ้าย 80 และลูกขวา 99 เส้นเชื่อมและตำแหน่งโหนดถูกต้องตามหลักการทั้งหมด
[สำหรับนักเรียน]
ยอดเยี่ยมมากครับ คุณสร้าง Binary Search Tree ได้ถูกต้องสมบูรณ์ครบทุกโหนดตามลำดับข้อมูลที่กำหนด ทั้งตำแหน่งกิ่งซ้าย-ขวาและการเชื่อมโยงของโหนดลูก</t>
        </is>
      </c>
    </row>
    <row r="115" ht="74" customHeight="1">
      <c r="A115" s="6" t="inlineStr">
        <is>
          <t>DS-110</t>
        </is>
      </c>
      <c r="B115" s="6" t="n">
        <v>4</v>
      </c>
      <c r="C115" s="6" t="inlineStr">
        <is>
          <t>text</t>
        </is>
      </c>
      <c r="D115" s="7" t="inlineStr">
        <is>
          <t>จากข้อมูลต่อไปนี้จงนำไปสร้างเป็น Binary search tree
9 16 10 76 5 13 58 92 11 15 80 99</t>
        </is>
      </c>
      <c r="E115" s="6" t="inlineStr">
        <is>
          <t>img</t>
        </is>
      </c>
      <c r="F115" s="8">
        <f>HYPERLINK("photo_clean_ชุดที่1/LINE_ALBUM_Photo1_260917_8.jpg","เปิดภาพคำตอบที่ลบคะแนนแล้ว")</f>
        <v/>
      </c>
      <c r="G115" s="6" t="n">
        <v>0</v>
      </c>
      <c r="H115" s="19" t="n">
        <v>0</v>
      </c>
      <c r="I115" s="19" t="inlineStr">
        <is>
          <t>HIGH</t>
        </is>
      </c>
      <c r="J115" s="20" t="inlineStr">
        <is>
          <t>[สำหรับผู้สอน]
ผู้เรียนสร้างโครงสร้าง Binary Search Tree ผิดหลักการหลายจุดเมื่อเทียบกับภาพเฉลยแนวคำตอบ:
1. ที่ Root (9) ผู้เรียนนำโหนด 10 ไปต่อเป็นลูกซ้าย และ 16 เป็นลูกขวา (ที่ถูกต้องคือ ซ้ายต้องเป็น 5 เนื่องจาก 5 &lt; 9 และขวาเป็น 16)
2. นำ 5 ไปต่อเป็นลูกซ้ายของ 10
3. โหนด 58 ถูกนำไปต่อเป็นลูกขวาของ 13 ซึ่งผิดอย่างสิ้นเชิง (58 ต้องเป็นลูกซ้ายของ 76)
4. โหนด 15 ถูกนำไปต่อใต้ 11 ซึ่งผิด (15 ต้องเป็นลูกขวาของ 13 เนื่องจาก 15 &gt; 13)
5. ฝั่งขวาของ 76 ขาดกิ่งซ้าย (58 หายไปจาก 76)
จึงได้ 0.00 คะแนนตามเกณฑ์
[สำหรับนักเรียน]
การสร้าง Binary Search Tree (BST) ยังมีจุดที่ผิดพลาดหลักๆ ดังนี้ครับ:
1. การเปรียบเทียบค่าที่ Root (9): ค่า 10 มีค่ามากกว่า 9 จะต้องไปอยู่ทางฝั่งกิ่งขวา ไม่สามารถเป็นลูกซ้ายของ 9 ได้ (และ 5 มีค่าน้อยกว่า 9 ต้องอยู่เป็นลูกซ้ายของ 9 โดยตรง)
2. โหนด 58: มีค่ามากกว่า 16 แต่น้อยกว่า 76 ดังนั้น 58 จะต้องเป็นลูกทางซ้ายของ 76 ไม่ใช่ลูกของ 13
3. โหนด 15: มีค่ามากกว่า 13 ดังนั้นจะต้องต่อเป็นลูกทางขวาของ 13 ไม่ใช่ต่อลงมาจาก 11 ครับ
ขอให้ทบทวนหลักการของ BST ที่ว่า 'ค่าน้อยกว่าไปซ้าย ค่ามากกว่าไปขวา' โดยเริ่มเปรียบเทียบตั้งแต่ Root เสมอครับ</t>
        </is>
      </c>
    </row>
    <row r="116" ht="74" customHeight="1">
      <c r="A116" s="6" t="inlineStr">
        <is>
          <t>DS-111</t>
        </is>
      </c>
      <c r="B116" s="6" t="n">
        <v>4</v>
      </c>
      <c r="C116" s="6" t="inlineStr">
        <is>
          <t>text</t>
        </is>
      </c>
      <c r="D116" s="7" t="inlineStr">
        <is>
          <t>จากข้อมูลต่อไปนี้จงนำไปสร้างเป็น Binary search tree
9 16 10 76 5 13 58 92 11 15 80 99</t>
        </is>
      </c>
      <c r="E116" s="6" t="inlineStr">
        <is>
          <t>img</t>
        </is>
      </c>
      <c r="F116" s="8">
        <f>HYPERLINK("photo_clean_ชุดที่1/LINE_ALBUM_Photo1_260917_9.jpg","เปิดภาพคำตอบที่ลบคะแนนแล้ว")</f>
        <v/>
      </c>
      <c r="G116" s="6" t="n">
        <v>1</v>
      </c>
      <c r="H116" s="19" t="n">
        <v>1</v>
      </c>
      <c r="I116" s="19" t="inlineStr">
        <is>
          <t>HIGH</t>
        </is>
      </c>
      <c r="J116" s="20" t="inlineStr">
        <is>
          <t>[สำหรับผู้สอน]
นักเรียนวาดโครงสร้าง Binary Search Tree ได้ถูกต้องสมบูรณ์ครบทั้ง 12 โหนด:
- Root คือ 9 มีลูกซ้ายเป็น 5, ลูกขวาเป็น 16
- ใต้ 16: ลูกซ้ายเป็น 10, ลูกขวาเป็น 76
- ใต้ 10: ลูกขวาเป็น 13
- ใต้ 13: ลูกซ้ายเป็น 11, ลูกขวาเป็น 15
- ใต้ 76: ลูกซ้ายเป็น 58 (เป็น Leaf Node ชัดเจน), ลูกขวาเป็น 92
- ใต้ 92: ลูกซ้ายเป็น 80, ลูกขวาเป็น 99
เส้นเชื่อมและความสัมพันธ์ตรงตามเฉลยทุกประการ ได้คะแนนเต็ม 1.00
[สำหรับนักเรียน]
ยอดเยี่ยมมากครับ โครงสร้าง Binary Search Tree (BST) ถูกต้องครบถ้วนทุกโหนด ทั้งตำแหน่งซ้าย-ขวา การเชื่อมโยง และการจัดการตำแหน่งระหว่างโหนด 13, 15 และ 58 ทำได้อย่างถูกต้องชัดเจนครับ</t>
        </is>
      </c>
    </row>
    <row r="117" ht="74" customHeight="1">
      <c r="A117" s="6" t="inlineStr">
        <is>
          <t>DS-112</t>
        </is>
      </c>
      <c r="B117" s="6" t="n">
        <v>4</v>
      </c>
      <c r="C117" s="6" t="inlineStr">
        <is>
          <t>text</t>
        </is>
      </c>
      <c r="D117" s="7" t="inlineStr">
        <is>
          <t>จากข้อมูลต่อไปนี้จงนำไปสร้างเป็น Binary search tree
9 16 10 76 5 13 58 92 11 15 80 99</t>
        </is>
      </c>
      <c r="E117" s="6" t="inlineStr">
        <is>
          <t>img</t>
        </is>
      </c>
      <c r="F117" s="8">
        <f>HYPERLINK("photo_clean_ชุดที่1/LINE_ALBUM_Photo1_260917_10.jpg","เปิดภาพคำตอบที่ลบคะแนนแล้ว")</f>
        <v/>
      </c>
      <c r="G117" s="6" t="n">
        <v>0</v>
      </c>
      <c r="H117" s="19" t="n">
        <v>0</v>
      </c>
      <c r="I117" s="19" t="inlineStr">
        <is>
          <t>HIGH</t>
        </is>
      </c>
      <c r="J117" s="20" t="inlineStr">
        <is>
          <t>[สำหรับผู้สอน]
นักเรียนวาดโครงสร้างผิดหลักการของ Binary Search Tree อย่างสิ้นเชิง โดยหลังจากโหนด 16 แตกเป็น 10 (ซ้าย) และ 76 (ขวา) แล้ว นักเรียนนำโหนดที่เหลือมาต่อเรียงเป็นเส้นตรงเส้นเดียวแบบ Linked List / Skewed Tree (13 -&gt; 58 -&gt; 92 -&gt; 11 -&gt; 15 -&gt; 80 -&gt; 99) ไม่ได้แยกสาขาซ้าย-ขวาตามกฎ BST (เช่น 11 และ 15 ต้องอยู่ใต้ 13, 58 และ 92 ต้องอยู่ใต้ 76) จึงให้ 0.00 คะแนนตามเกณฑ์
[สำหรับนักเรียน]
การสร้าง Binary Search Tree (BST) จะต้องเปรียบเทียบค่าของข้อมูลใหม่กับโหนดรากและโหนดที่มีอยู่เดิม โดยถ้าค่าน้อยกว่าให้ไปทางซ้าย และถ้ามากกว่าให้ไปทางขวาเสมอ ในข้อนี้หลังจากโหนด 16 แล้ว ข้อมูลที่เหลือน้องนำมาต่อเป็นสายตรงยาวสายเดียว (ลูกโซ่) ซึ่งผิดหลักการ เช่น 58 และ 92 ควรเป็นลูกซ้ายและขวาของ 76 และ 11 กับ 15 ควรเป็นลูกซ้ายและขวาของ 13 ตามลำดับ ลองทบทวนการแทรกข้อมูลลงใน BST ทีละตัวดูนะครับ</t>
        </is>
      </c>
    </row>
    <row r="118" ht="74" customHeight="1">
      <c r="A118" s="6" t="inlineStr">
        <is>
          <t>DS-113</t>
        </is>
      </c>
      <c r="B118" s="6" t="n">
        <v>4</v>
      </c>
      <c r="C118" s="6" t="inlineStr">
        <is>
          <t>text</t>
        </is>
      </c>
      <c r="D118" s="7" t="inlineStr">
        <is>
          <t>จากข้อมูลต่อไปนี้จงนำไปสร้างเป็น Binary search tree
9 16 10 76 5 13 58 92 11 15 80 99</t>
        </is>
      </c>
      <c r="E118" s="6" t="inlineStr">
        <is>
          <t>img</t>
        </is>
      </c>
      <c r="F118" s="8">
        <f>HYPERLINK("photo_clean_ชุดที่1/LINE_ALBUM_Photo1_260917_11.jpg","เปิดภาพคำตอบที่ลบคะแนนแล้ว")</f>
        <v/>
      </c>
      <c r="G118" s="6" t="n">
        <v>1</v>
      </c>
      <c r="H118" s="19" t="n">
        <v>1</v>
      </c>
      <c r="I118" s="19" t="inlineStr">
        <is>
          <t>HIGH</t>
        </is>
      </c>
      <c r="J118" s="20" t="inlineStr">
        <is>
          <t>[สำหรับผู้สอน]
ผู้เรียนสร้างโครงสร้าง Binary Search Tree (BST) ได้ถูกต้องครบถ้วนทั้ง 12 โหนดตามลำดับข้อมูลที่กำหนด:
- โหนดรากคือ 9 เชื่อมลูกซ้าย 5 และลูกขวา 16
- ใต้ 16 เชื่อมลูกซ้าย 10 และลูกขวา 76
- ใต้ 10 เชื่อมลูกขวา 13
- ใต้ 13 เชื่อมลูกซ้าย 11 และลูกขวา 15 (ลากเส้นถูกต้องชัดเจน ไม่เชื่อมเข้าหา 58)
- ใต้ 76 เชื่อมลูกซ้าย 58 (เป็น Leaf Node) และลูกขวา 92
- ใต้ 92 เชื่อมลูกซ้าย 80 และลูกขวา 99
โครงสร้างความสัมพันธ์ (Topology) ตรงกับภาพแนวคำตอบทุกประการ จึงได้คะแนนเต็ม 1.00
[สำหรับนักเรียน]
ยอดเยี่ยมมากครับ วาดแผนภาพต้นไม้ค้นหาทวิภาค (Binary Search Tree) ได้ถูกต้องสมบูรณ์ครบทั้ง 12 โหนด เส้นเชื่อมระบุความสัมพันธ์ซ้าย-ขวาได้อย่างถูกต้องและชัดเจน</t>
        </is>
      </c>
    </row>
    <row r="119" ht="74" customHeight="1">
      <c r="A119" s="6" t="inlineStr">
        <is>
          <t>DS-114</t>
        </is>
      </c>
      <c r="B119" s="6" t="n">
        <v>4</v>
      </c>
      <c r="C119" s="6" t="inlineStr">
        <is>
          <t>text</t>
        </is>
      </c>
      <c r="D119" s="7" t="inlineStr">
        <is>
          <t>จากข้อมูลต่อไปนี้จงนำไปสร้างเป็น Binary search tree
9 16 10 76 5 13 58 92 11 15 80 99</t>
        </is>
      </c>
      <c r="E119" s="6" t="inlineStr">
        <is>
          <t>img</t>
        </is>
      </c>
      <c r="F119" s="8">
        <f>HYPERLINK("photo_clean_ชุดที่1/LINE_ALBUM_Photo1_260917_12.jpg","เปิดภาพคำตอบที่ลบคะแนนแล้ว")</f>
        <v/>
      </c>
      <c r="G119" s="6" t="n">
        <v>0</v>
      </c>
      <c r="H119" s="19" t="n">
        <v>0</v>
      </c>
      <c r="I119" s="19" t="inlineStr">
        <is>
          <t>HIGH</t>
        </is>
      </c>
      <c r="J119" s="20" t="inlineStr">
        <is>
          <t>[สำหรับผู้สอน]
นักเรียนวาดโครงสร้างผิดพลาดอย่างชัดเจนที่โหนด 15: นักเรียนนำโหนด 15 ไปต่อเป็นลูกซ้ายของโหนด 58 ซึ่งผิดหลักการของ Binary Search Tree (ค่า 15 มีค่าน้อยกว่า 16 จึงไม่สามารถไปอยู่ใน subtree ฝั่งขวาของ 16 ใต้โหนด 76 และ 58 ได้) โหนด 15 ที่ถูกต้องจะต้องเป็นลูกทางขวาของโหนด 13 เท่านั้น ตามเกณฑ์จึงได้ 0.00 คะแนน
[สำหรับนักเรียน]
โครงสร้างต้นไม้เกือบถูกต้องทั้งหมด แต่มีจุดผิดพลาดสำคัญที่โหนด 15 ครับ: ในการนำเข้า 15 เข้าสู่ BST เมื่อเทียบกับ 9 (ไปขวา) -&gt; เทียบกับ 16 (15 &lt; 16 ต้องไปทางซ้ายของ 16) -&gt; เทียบกับ 10 (ไปขวา) -&gt; เทียบกับ 13 (15 &gt; 13 ต้องไปเป็นลูกทางขวาของ 13) แต่ในรูปวาดนักเรียนนำ 15 ไปต่อใต้โหนด 58 ซึ่งผิดกฎของ BST ครับ</t>
        </is>
      </c>
    </row>
    <row r="120" ht="74" customHeight="1">
      <c r="A120" s="6" t="inlineStr">
        <is>
          <t>DS-115</t>
        </is>
      </c>
      <c r="B120" s="6" t="n">
        <v>4</v>
      </c>
      <c r="C120" s="6" t="inlineStr">
        <is>
          <t>text</t>
        </is>
      </c>
      <c r="D120" s="7" t="inlineStr">
        <is>
          <t>จากข้อมูลต่อไปนี้จงนำไปสร้างเป็น Binary search tree
9 16 10 76 5 13 58 92 11 15 80 99</t>
        </is>
      </c>
      <c r="E120" s="6" t="inlineStr">
        <is>
          <t>img</t>
        </is>
      </c>
      <c r="F120" s="8">
        <f>HYPERLINK("photo_clean_ชุดที่1/LINE_ALBUM_Photo1_260917_13.jpg","เปิดภาพคำตอบที่ลบคะแนนแล้ว")</f>
        <v/>
      </c>
      <c r="G120" s="6" t="n">
        <v>1</v>
      </c>
      <c r="H120" s="19" t="n">
        <v>1</v>
      </c>
      <c r="I120" s="19" t="inlineStr">
        <is>
          <t>HIGH</t>
        </is>
      </c>
      <c r="J120" s="20" t="inlineStr">
        <is>
          <t>[สำหรับผู้สอน]
นักเรียนวาดโครงสร้าง Binary Search Tree ได้ถูกต้องสมบูรณ์ครบทั้ง 12 โหนดตามเฉลย:
- Root คือ 9 มีลูกซ้ายคือ 5, ลูกขวาคือ 16
- ใต้ 16 มีลูกซ้ายคือ 10, ลูกขวาคือ 76
- ใต้ 10 มีลูกขวาคือ 13
- ใต้ 13 มีลูกซ้ายคือ 11, ลูกขวาคือ 15
- ใต้ 76 มีลูกซ้ายคือ 58 (Leaf Node), ลูกขวาคือ 92
- ใต้ 92 มีลูกซ้ายคือ 80, ลูกขวาคือ 99
การเชื่อมต่อระหว่างโหนด 13, 11, 15 และ 76, 58 มีความชัดเจนและถูกต้องตามกฎการอนุโลมจุดเบียดตรงกลาง
[สำหรับนักเรียน]
ยอดเยี่ยมมากครับ โครงสร้าง Binary Search Tree ถูกต้องครบถ้วนสมบูรณ์ทุกโหนด ทั้งตำแหน่งซ้าย-ขวาและการเชื่อมโยงตามเงื่อนไขของ BST</t>
        </is>
      </c>
    </row>
    <row r="121" ht="74" customHeight="1">
      <c r="A121" s="6" t="inlineStr">
        <is>
          <t>DS-116</t>
        </is>
      </c>
      <c r="B121" s="6" t="n">
        <v>4</v>
      </c>
      <c r="C121" s="6" t="inlineStr">
        <is>
          <t>text</t>
        </is>
      </c>
      <c r="D121" s="7" t="inlineStr">
        <is>
          <t>จากข้อมูลต่อไปนี้จงนำไปสร้างเป็น Binary search tree
9 16 10 76 5 13 58 92 11 15 80 99</t>
        </is>
      </c>
      <c r="E121" s="6" t="inlineStr">
        <is>
          <t>img</t>
        </is>
      </c>
      <c r="F121" s="8">
        <f>HYPERLINK("photo_clean_ชุดที่1/LINE_ALBUM_Photo1_260917_14.jpg","เปิดภาพคำตอบที่ลบคะแนนแล้ว")</f>
        <v/>
      </c>
      <c r="G121" s="6" t="n">
        <v>1</v>
      </c>
      <c r="H121" s="19" t="n">
        <v>1</v>
      </c>
      <c r="I121" s="19" t="inlineStr">
        <is>
          <t>HIGH</t>
        </is>
      </c>
      <c r="J121" s="20" t="inlineStr">
        <is>
          <t>[สำหรับผู้สอน]
นักเรียนวาดโครงสร้าง Binary Search Tree ได้ถูกต้องสมบูรณ์ครบทั้ง 12 โหนด:
- Root คือ 9 มีลูกซ้ายคือ 5 และลูกขวาคือ 16
- ใต้ 16 มีลูกซ้ายคือ 10 และลูกขวาคือ 76
- ใต้ 10 มีลูกขวาคือ 13
- ใต้ 13 มีลูกซ้ายคือ 11 และลูกขวาคือ 15
- ใต้ 76 มีลูกซ้ายคือ 58 (เป็น leaf node) และลูกขวาคือ 92
- ใต้ 92 มีลูกซ้ายคือ 80 และลูกขวาคือ 99
แม้ว่าโหนด 13 และ 58 จะอยู่ชิดกันตามธรรมชาติของชุดข้อมูลนี้ แต่เส้นเชื่อมและลำดับความสัมพันธ์ของ Parent-Child ถูกต้องตรงตามเกณฑ์ทุกประการ
[สำหรับนักเรียน]
ยอดเยี่ยมมากครับ คุณสร้าง Binary Search Tree ได้ถูกต้องสมบูรณ์ครบทุกโหนดตามลำดับข้อมูลที่กำหนด การจัดตำแหน่งความสัมพันธ์ซ้าย-ขวาถูกต้องทั้งหมด</t>
        </is>
      </c>
    </row>
    <row r="122" ht="74" customHeight="1">
      <c r="A122" s="6" t="inlineStr">
        <is>
          <t>DS-117</t>
        </is>
      </c>
      <c r="B122" s="6" t="n">
        <v>4</v>
      </c>
      <c r="C122" s="6" t="inlineStr">
        <is>
          <t>text</t>
        </is>
      </c>
      <c r="D122" s="7" t="inlineStr">
        <is>
          <t>จากข้อมูลต่อไปนี้จงนำไปสร้างเป็น Binary search tree
9 16 10 76 5 13 58 92 11 15 80 99</t>
        </is>
      </c>
      <c r="E122" s="6" t="inlineStr">
        <is>
          <t>img</t>
        </is>
      </c>
      <c r="F122" s="8">
        <f>HYPERLINK("photo_clean_ชุดที่1/LINE_ALBUM_Photo1_260917_15.jpg","เปิดภาพคำตอบที่ลบคะแนนแล้ว")</f>
        <v/>
      </c>
      <c r="G122" s="6" t="n">
        <v>1</v>
      </c>
      <c r="H122" s="19" t="n">
        <v>1</v>
      </c>
      <c r="I122" s="19" t="inlineStr">
        <is>
          <t>HIGH</t>
        </is>
      </c>
      <c r="J122" s="20" t="inlineStr">
        <is>
          <t>[สำหรับผู้สอน]
ภาพถ่ายของนักเรียนมีทิศทางกลับหัว (180 องศา) เมื่อหมุนภาพให้ตั้งตรงตามข้อความโจทย์ จะพบว่าโครงสร้าง Binary Search Tree ถูกต้องสมบูรณ์ครบทั้ง 12 โหนด:
- โหนดรากคือ 9 โดยมีลูกซ้ายคือ 5 และลูกขวาคือ 16
- ใต้ 16 มีลูกซ้ายคือ 10 และลูกขวาคือ 76
- ใต้ 10 มีลูกขวาคือ 13
- ใต้ 13 มีลูกซ้ายคือ 11 และลูกขวาคือ 15
- ใต้ 76 มีลูกซ้ายคือ 58 (เป็น Leaf Node) และลูกขวาคือ 92
- ใต้ 92 มีลูกซ้ายคือ 80 และลูกขวาคือ 99
การเชื่อมโยงโหนดถูกต้องตามแนวคำตอบทุกประการ จึงให้คะแนนเต็ม 1.00 คะแนน
[สำหรับนักเรียน]
คุณสร้าง Binary Search Tree ได้ถูกต้องสมบูรณ์แบบ ทั้งการระบุโหนดราก การจัดตำแหน่งลูกซ้าย-ขวาตามเงื่อนไขของ BST ครบถ้วนทั้ง 12 ค่า ทำได้ยอดเยี่ยมมากครับ</t>
        </is>
      </c>
    </row>
    <row r="123" ht="74" customHeight="1">
      <c r="A123" s="6" t="inlineStr">
        <is>
          <t>DS-118</t>
        </is>
      </c>
      <c r="B123" s="6" t="n">
        <v>4</v>
      </c>
      <c r="C123" s="6" t="inlineStr">
        <is>
          <t>text</t>
        </is>
      </c>
      <c r="D123" s="7" t="inlineStr">
        <is>
          <t>จากข้อมูลต่อไปนี้จงนำไปสร้างเป็น Binary search tree
9 16 10 76 5 13 58 92 11 15 80 99</t>
        </is>
      </c>
      <c r="E123" s="6" t="inlineStr">
        <is>
          <t>img</t>
        </is>
      </c>
      <c r="F123" s="8">
        <f>HYPERLINK("photo_clean_ชุดที่1/LINE_ALBUM_Photo1_260917_16.jpg","เปิดภาพคำตอบที่ลบคะแนนแล้ว")</f>
        <v/>
      </c>
      <c r="G123" s="6" t="n">
        <v>1</v>
      </c>
      <c r="H123" s="19" t="n">
        <v>1</v>
      </c>
      <c r="I123" s="19" t="inlineStr">
        <is>
          <t>HIGH</t>
        </is>
      </c>
      <c r="J123" s="20" t="inlineStr">
        <is>
          <t>[สำหรับผู้สอน]
ภาพคำตอบของนักเรียนถูกถ่ายกลับหัว 180 องศา เมื่อหมุนภาพให้ตรงจะพบว่า:
- โหนด Root คือ 9 มีลูกซ้ายเป็น 5 และลูกขวาเป็น 16
- ใต้ 16 มีลูกซ้ายเป็น 10 และลูกขวาเป็น 76
- ใต้ 10 มีลูกขวาเป็น 13
- ใต้ 13 มีลูกซ้ายเป็น 11 และลูกขวาเป็น 15
- ใต้ 76 มีลูกซ้ายเป็น 58 (เป็น leaf node) และลูกขวาเป็น 92
- ใต้ 92 มีลูกซ้ายเป็น 80 และลูกขวาเป็น 99
โครงสร้างความสัมพันธ์และตำแหน่งของทุกโหนดถูกต้องสมบูรณ์ตรงตามภาพเฉลยและเกณฑ์ rubric ทุกประการ
[สำหรับนักเรียน]
สร้าง Binary Search Tree ได้ถูกต้องสมบูรณ์ครบถ้วนทั้ง 12 โหนด การจัดวางกิ่งซ้าย-ขวาถูกต้องตามคุณสมบัติของ BST ชัดเจนมากครับ (หมายเหตุ: ในการส่งงานครั้งต่อไป ควรถ่ายรูปให้ตรงทิศทางเพื่อความสะดวกในการตรวจครับ)</t>
        </is>
      </c>
    </row>
    <row r="124" ht="74" customHeight="1">
      <c r="A124" s="6" t="inlineStr">
        <is>
          <t>DS-119</t>
        </is>
      </c>
      <c r="B124" s="6" t="n">
        <v>4</v>
      </c>
      <c r="C124" s="6" t="inlineStr">
        <is>
          <t>text</t>
        </is>
      </c>
      <c r="D124" s="7" t="inlineStr">
        <is>
          <t>จากข้อมูลต่อไปนี้จงนำไปสร้างเป็น Binary search tree
9 16 10 76 5 13 58 92 11 15 80 99</t>
        </is>
      </c>
      <c r="E124" s="6" t="inlineStr">
        <is>
          <t>img</t>
        </is>
      </c>
      <c r="F124" s="8">
        <f>HYPERLINK("photo_clean_ชุดที่1/LINE_ALBUM_Photo1_260917_17.jpg","เปิดภาพคำตอบที่ลบคะแนนแล้ว")</f>
        <v/>
      </c>
      <c r="G124" s="6" t="n">
        <v>0</v>
      </c>
      <c r="H124" s="19" t="n">
        <v>0</v>
      </c>
      <c r="I124" s="19" t="inlineStr">
        <is>
          <t>HIGH</t>
        </is>
      </c>
      <c r="J124" s="20" t="inlineStr">
        <is>
          <t>[สำหรับผู้สอน]
ภาพคำตอบกลับหัว 180 องศา เมื่อหมุนให้อยู่ในแนวตั้งที่ถูกต้อง (โดยมี Root คือ 9 อยู่ด้านบน): พบว่าโครงสร้าง BST ผิดพลาดหลายตำแหน่งอย่างร้ายแรง ได้แก่ 1) นำโหนด 10 ไปต่อเป็นลูกซ้ายของ 9 แทนที่จะเป็น 5 (และเอา 5 ไปต่อใต้ 10, เอา 11 ไปต่อใต้ 5) 2) ฝั่งขวาของ 76 เชื่อม 58 เป็นลูกซ้ายแล้วเอา 80 ไปต่อเป็นลูกของ 58 ซึ่งผิดหลัก BST (80 &gt; 76 ต้องอยู่ฝั่งขวาของ 76 ใต้ 92) และ 58 ต้องเป็น Leaf node ตามแนวคำตอบ จึงได้ 0.00 คะแนน
[สำหรับนักเรียน]
โครงสร้างของ Binary Search Tree ยังไม่ถูกต้องครับ ลำดับการแทรกข้อมูลตามหลัก BST คือ ข้อมูลที่น้อยกว่าโหนดปัจจุบันจะไปทางซ้าย และข้อมูลที่มากกว่าจะไปทางขวา:
1. 5 น้อยกว่า 9 ต้องเป็นลูกซ้ายของ 9 (ไม่ใช่ 10)
2. 10 น้อยกว่า 16 แต่มากกว่า 9 จึงต้องเป็นลูกซ้ายของ 16
3. 80 มากกว่า 76 จึงต้องอยู่ทางกิ่งขวาของ 76 (เป็นลูกซ้ายของ 92) ไม่สามารถนำไปต่อใต้ 58 ได้ครับ</t>
        </is>
      </c>
    </row>
    <row r="125" ht="74" customHeight="1">
      <c r="A125" s="6" t="inlineStr">
        <is>
          <t>DS-120</t>
        </is>
      </c>
      <c r="B125" s="6" t="n">
        <v>4</v>
      </c>
      <c r="C125" s="6" t="inlineStr">
        <is>
          <t>text</t>
        </is>
      </c>
      <c r="D125" s="7" t="inlineStr">
        <is>
          <t>จากข้อมูลต่อไปนี้จงนำไปสร้างเป็น Binary search tree
9 16 10 76 5 13 58 92 11 15 80 99</t>
        </is>
      </c>
      <c r="E125" s="6" t="inlineStr">
        <is>
          <t>img</t>
        </is>
      </c>
      <c r="F125" s="8">
        <f>HYPERLINK("photo_clean_ชุดที่1/LINE_ALBUM_Photo1_260917_18.jpg","เปิดภาพคำตอบที่ลบคะแนนแล้ว")</f>
        <v/>
      </c>
      <c r="G125" s="6" t="n">
        <v>1</v>
      </c>
      <c r="H125" s="19" t="n">
        <v>1</v>
      </c>
      <c r="I125" s="19" t="inlineStr">
        <is>
          <t>HIGH</t>
        </is>
      </c>
      <c r="J125" s="20" t="inlineStr">
        <is>
          <t>[สำหรับผู้สอน]
ภาพคำตอบของนักเรียนถูกถ่ายมาในทิศทางกลับหัว (180 องศา) เมื่อหมุนภาพให้ตั้งตรงตามข้อความโจทย์ จะพบโครงสร้างดังนี้:
- Root คือ 9 มีลูกซ้ายเป็น 5 และลูกขวาเป็น 16
- ใต้ 16 มีลูกซ้ายเป็น 10 และลูกขวาเป็น 76
- ใต้ 10 มีลูกขวาเป็น 13
- ใต้ 13 มีลูกซ้ายเป็น 11 และลูกขวาเป็น 15
- ใต้ 76 มีลูกซ้ายเป็น 58 (leaf node) และลูกขวาเป็น 92
- ใต้ 92 มีลูกซ้ายเป็น 80 และลูกขวาเป็น 99
โครงสร้างความสัมพันธ์ (Topology) ครบถ้วนและถูกต้องตรงตามเกณฑ์และภาพแนวคำตอบทุกประการ จึงให้ 1.00 คะแนนเต็ม
[สำหรับนักเรียน]
สร้าง Binary Search Tree ได้ถูกต้องสมบูรณ์ ทั้งตำแหน่งของ Root (9) และการวางโหนดลูกตามเงื่อนไข BST ทุกโหนดครับ</t>
        </is>
      </c>
    </row>
    <row r="126" ht="74" customHeight="1">
      <c r="A126" s="6" t="inlineStr">
        <is>
          <t>DS-121</t>
        </is>
      </c>
      <c r="B126" s="6" t="n">
        <v>4</v>
      </c>
      <c r="C126" s="6" t="inlineStr">
        <is>
          <t>text</t>
        </is>
      </c>
      <c r="D126" s="7" t="inlineStr">
        <is>
          <t>จากข้อมูลต่อไปนี้จงนำไปสร้างเป็น Binary search tree
9 16 10 76 5 13 58 92 11 15 80 99</t>
        </is>
      </c>
      <c r="E126" s="6" t="inlineStr">
        <is>
          <t>img</t>
        </is>
      </c>
      <c r="F126" s="8">
        <f>HYPERLINK("photo_clean_ชุดที่1/LINE_ALBUM_Photo1_260917_19.jpg","เปิดภาพคำตอบที่ลบคะแนนแล้ว")</f>
        <v/>
      </c>
      <c r="G126" s="6" t="n">
        <v>1</v>
      </c>
      <c r="H126" s="19" t="n">
        <v>1</v>
      </c>
      <c r="I126" s="19" t="inlineStr">
        <is>
          <t>HIGH</t>
        </is>
      </c>
      <c r="J126" s="20" t="inlineStr">
        <is>
          <t>[สำหรับผู้สอน]
นักเรียนวาดโครงสร้าง Binary Search Tree ได้ถูกต้องสมบูรณ์ครบทั้ง 12 โหนด:
- Root คือ 9 (ลูกซ้าย 5, ลูกขวา 16)
- โหนด 16 มีลูกซ้ายเป็น 10, ลูกขวาเป็น 76
- โหนด 10 มีลูกขวาเป็น 13
- โหนด 13 มีลูกซ้ายเป็น 11 และลูกขวาเป็น 15 ชัดเจน
- โหนด 76 มีลูกซ้ายเป็น 58 (เป็น Leaf) และลูกขวาเป็น 92
- โหนด 92 มีลูกซ้ายเป็น 80 และลูกขวาเป็น 99
แม้จะมีรอยดินสอร่างจางๆ แต่เส้นคำตอบด้วยปากกา/ดินสอหลักมีความถูกต้องตามหลักการ BST ทุกประการ ให้คะแนนเต็ม 1.00
[สำหรับนักเรียน]
ยอดเยี่ยมมากครับ คุณสร้าง Binary Search Tree ได้ถูกต้องครบถ้วนสมบูรณ์ทุกโหนด ทั้งความสัมพันธ์ซ้าย-ขวาและการเชื่อมโยงของโหนดต่างๆ ถูกต้องตามหลักการทั้งหมด</t>
        </is>
      </c>
    </row>
    <row r="127" ht="74" customHeight="1">
      <c r="A127" s="6" t="inlineStr">
        <is>
          <t>DS-122</t>
        </is>
      </c>
      <c r="B127" s="6" t="n">
        <v>4</v>
      </c>
      <c r="C127" s="6" t="inlineStr">
        <is>
          <t>text</t>
        </is>
      </c>
      <c r="D127" s="7" t="inlineStr">
        <is>
          <t>จากข้อมูลต่อไปนี้จงนำไปสร้างเป็น Binary search tree
9 16 10 76 5 13 58 92 11 15 80 99</t>
        </is>
      </c>
      <c r="E127" s="6" t="inlineStr">
        <is>
          <t>img</t>
        </is>
      </c>
      <c r="F127" s="8">
        <f>HYPERLINK("photo_clean_ชุดที่1/LINE_ALBUM_Photo1_260917_20.jpg","เปิดภาพคำตอบที่ลบคะแนนแล้ว")</f>
        <v/>
      </c>
      <c r="G127" s="6" t="n">
        <v>1</v>
      </c>
      <c r="H127" s="19" t="n">
        <v>1</v>
      </c>
      <c r="I127" s="19" t="inlineStr">
        <is>
          <t>HIGH</t>
        </is>
      </c>
      <c r="J127" s="20" t="inlineStr">
        <is>
          <t>[สำหรับผู้สอน]
นักเรียนวาดโครงสร้าง Binary Search Tree ได้ถูกต้องสมบูรณ์ครบทั้ง 12 โหนดตามเฉลยและเกณฑ์การให้คะแนน: 
- Root คือ 9 มีลูกซ้าย 5 ลูกขวา 16
- ใต้ 16 มีลูกซ้าย 10 ลูกขวา 76
- ใต้ 10 มีลูกขวา 13
- ใต้ 13 มีลูกซ้าย 11 ลูกขวา 15 ชัดเจน
- ใต้ 76 มีลูกซ้าย 58 (เป็น leaf node ไม่มีลูกหลาน) และลูกขวา 92
- ใต้ 92 มีลูกซ้าย 80 ลูกขวา 99
แม้ตำแหน่ง 13 กับ 58 จะอยู่ชิดกันตรงกลางกระดาษ แต่เส้นเชื่อมและลำดับความสัมพันธ์ของ Parent-Child ถูกต้องตามเกณฑ์การอนุโลมทุกประการ
[สำหรับนักเรียน]
สร้าง Binary Search Tree ได้ถูกต้องสมบูรณ์ครบถ้วนทุกโหนด ทั้งตำแหน่งซ้าย-ขวาและการเชื่อมโยงของข้อมูลถูกต้องตามหลักการครับ ทำได้ดีมาก</t>
        </is>
      </c>
    </row>
    <row r="128" ht="74" customHeight="1">
      <c r="A128" s="6" t="inlineStr">
        <is>
          <t>DS-123</t>
        </is>
      </c>
      <c r="B128" s="6" t="n">
        <v>4</v>
      </c>
      <c r="C128" s="6" t="inlineStr">
        <is>
          <t>text</t>
        </is>
      </c>
      <c r="D128" s="7" t="inlineStr">
        <is>
          <t>จากข้อมูลต่อไปนี้จงนำไปสร้างเป็น Binary search tree
9 16 10 76 5 13 58 92 11 15 80 99</t>
        </is>
      </c>
      <c r="E128" s="6" t="inlineStr">
        <is>
          <t>img</t>
        </is>
      </c>
      <c r="F128" s="8">
        <f>HYPERLINK("photo_clean_ชุดที่1/LINE_ALBUM_Photo1_260917_21.jpg","เปิดภาพคำตอบที่ลบคะแนนแล้ว")</f>
        <v/>
      </c>
      <c r="G128" s="6" t="n">
        <v>1</v>
      </c>
      <c r="H128" s="19" t="n">
        <v>1</v>
      </c>
      <c r="I128" s="19" t="inlineStr">
        <is>
          <t>HIGH</t>
        </is>
      </c>
      <c r="J128" s="20" t="inlineStr">
        <is>
          <t>[สำหรับผู้สอน]
ภาพถ่ายของนักเรียนมีทิศทางกลับหัว (180 องศา) เมื่อหมุนภาพให้ตรงตามแนวตั้ง จะพบโครงสร้าง Binary Search Tree ที่ถูกต้องครบถ้วนทั้ง 12 โหนด:
- Root คือ 9 มีลูกซ้ายเป็น 5 และลูกขวาเป็น 16
- ใต้ 16 มีลูกซ้ายเป็น 10 และลูกขวาเป็น 76
- ใต้ 10 มีลูกขวาเป็น 13
- ใต้ 13 มีลูกซ้ายเป็น 11 และลูกขวาเป็น 15
- ใต้ 76 มีลูกซ้ายเป็น 58 (เป็น Leaf Node) และลูกขวาเป็น 92
- ใต้ 92 มีลูกซ้ายเป็น 80 และลูกขวาเป็น 99
โครงสร้างความสัมพันธ์ถูกต้องสมบูรณ์ตามเกณฑ์และเฉลย จึงให้ 1.00 คะแนนเต็ม
[สำหรับนักเรียน]
สร้าง Binary Search Tree ได้ถูกต้องสมบูรณ์ครบทั้ง 12 โหนด การจัดวางโหนดซ้าย-ขวาตามเงื่อนไขของ BST ถูกต้องทั้งหมด ยอดเยี่ยมมากครับ</t>
        </is>
      </c>
    </row>
    <row r="129" ht="74" customHeight="1">
      <c r="A129" s="6" t="inlineStr">
        <is>
          <t>DS-124</t>
        </is>
      </c>
      <c r="B129" s="6" t="n">
        <v>4</v>
      </c>
      <c r="C129" s="6" t="inlineStr">
        <is>
          <t>text</t>
        </is>
      </c>
      <c r="D129" s="7" t="inlineStr">
        <is>
          <t>จากข้อมูลต่อไปนี้จงนำไปสร้างเป็น Binary search tree
9 16 10 76 5 13 58 92 11 15 80 99</t>
        </is>
      </c>
      <c r="E129" s="6" t="inlineStr">
        <is>
          <t>img</t>
        </is>
      </c>
      <c r="F129" s="8">
        <f>HYPERLINK("photo_clean_ชุดที่1/LINE_ALBUM_Photo1_260917_22.jpg","เปิดภาพคำตอบที่ลบคะแนนแล้ว")</f>
        <v/>
      </c>
      <c r="G129" s="6" t="n">
        <v>1</v>
      </c>
      <c r="H129" s="19" t="n">
        <v>1</v>
      </c>
      <c r="I129" s="19" t="inlineStr">
        <is>
          <t>HIGH</t>
        </is>
      </c>
      <c r="J129" s="20" t="inlineStr">
        <is>
          <t>[สำหรับผู้สอน]
ภาพคำตอบกลับหัว 180 องศา เมื่อหมุนภาพให้ถูกต้องพบว่า:
- Root คือ 9 โดยมีลูกซ้ายเป็น 5 และลูกขวาเป็น 16
- ใต้ 16 มีลูกซ้ายเป็น 10 และลูกขวาเป็น 76
- ใต้ 10 มีลูกขวาเป็น 13
- ใต้ 13 มีลูกซ้ายเป็น 11 และลูกขวาเป็น 15
- ใต้ 76 มีลูกซ้ายเป็น 58 (เป็น leaf node) และลูกขวาเป็น 92
- ใต้ 92 มีลูกซ้ายเป็น 80 และลูกขวาเป็น 99
โครงสร้างความสัมพันธ์และตำแหน่งของโหนดทั้งหมด 12 โหนดถูกต้องตามหลักการของ Binary Search Tree และตรงกับภาพแนวคำตอบทุกประการ จึงได้คะแนนเต็ม 1.00
[สำหรับนักเรียน]
คำตอบถูกต้องสมบูรณ์มากครับ โครงสร้างของ Binary Search Tree ครบทั้ง 12 โหนด และการเชื่อมโยงลูกซ้าย-ขวาตามเงื่อนไขค่าน้อยกว่าไปทางซ้าย ค่ามากกว่าไปทางขวาทำได้อย่างถูกต้องทุกตำแหน่ง</t>
        </is>
      </c>
    </row>
    <row r="130" ht="74" customHeight="1">
      <c r="A130" s="6" t="inlineStr">
        <is>
          <t>DS-125</t>
        </is>
      </c>
      <c r="B130" s="6" t="n">
        <v>4</v>
      </c>
      <c r="C130" s="6" t="inlineStr">
        <is>
          <t>text</t>
        </is>
      </c>
      <c r="D130" s="7" t="inlineStr">
        <is>
          <t>จากข้อมูลต่อไปนี้จงนำไปสร้างเป็น Binary search tree
9 16 10 76 5 13 58 92 11 15 80 99</t>
        </is>
      </c>
      <c r="E130" s="6" t="inlineStr">
        <is>
          <t>img</t>
        </is>
      </c>
      <c r="F130" s="8">
        <f>HYPERLINK("photo_clean_ชุดที่1/LINE_ALBUM_Photo1_260917_23.jpg","เปิดภาพคำตอบที่ลบคะแนนแล้ว")</f>
        <v/>
      </c>
      <c r="G130" s="6" t="n">
        <v>1</v>
      </c>
      <c r="H130" s="19" t="n">
        <v>1</v>
      </c>
      <c r="I130" s="19" t="inlineStr">
        <is>
          <t>HIGH</t>
        </is>
      </c>
      <c r="J130" s="20" t="inlineStr">
        <is>
          <t>[สำหรับผู้สอน]
ภาพคำตอบของผู้เรียนตรงตามเกณฑ์และภาพแนวคำตอบทุกประการ:
1. Root คือ 9 มีลูกซ้ายเป็น 5 และลูกขวาเป็น 16
2. ใต้ 16 มีลูกซ้ายเป็น 10 และลูกขวาเป็น 76
3. ใต้ 10 มีลูกขวาเป็น 13
4. ใต้ 13 มีลูกซ้ายเป็น 11 และลูกขวาเป็น 15
5. ใต้ 76 มีลูกซ้ายเป็น 58 (เป็น Leaf Node) และลูกขวาเป็น 92
6. ใต้ 92 มีลูกซ้ายเป็น 80 และลูกขวาเป็น 99
การเชื่อมต่อระหว่างโหนด 13, 15 และ 58 ชัดเจน ถูกต้องตามหลักการ BST จึงได้คะแนนเต็ม 1.00
[สำหรับนักเรียน]
ยอดเยี่ยมมากครับ คุณสร้าง Binary Search Tree (BST) ได้ถูกต้องสมบูรณ์ครบทั้ง 12 โหนด การจัดวางทิศทางซ้าย-ขวาของแต่ละโหนดถูกต้องตามคุณสมบัติของ BST ชัดเจนและอ่านง่าย</t>
        </is>
      </c>
    </row>
    <row r="131" ht="74" customHeight="1">
      <c r="A131" s="6" t="inlineStr">
        <is>
          <t>DS-126</t>
        </is>
      </c>
      <c r="B131" s="6" t="n">
        <v>4</v>
      </c>
      <c r="C131" s="6" t="inlineStr">
        <is>
          <t>text</t>
        </is>
      </c>
      <c r="D131" s="7" t="inlineStr">
        <is>
          <t>จากข้อมูลต่อไปนี้จงนำไปสร้างเป็น Binary search tree
9 16 10 76 5 13 58 92 11 15 80 99</t>
        </is>
      </c>
      <c r="E131" s="6" t="inlineStr">
        <is>
          <t>img</t>
        </is>
      </c>
      <c r="F131" s="8">
        <f>HYPERLINK("photo_clean_ชุดที่1/LINE_ALBUM_Photo1_260917_24.jpg","เปิดภาพคำตอบที่ลบคะแนนแล้ว")</f>
        <v/>
      </c>
      <c r="G131" s="6" t="n">
        <v>1</v>
      </c>
      <c r="H131" s="19" t="n">
        <v>1</v>
      </c>
      <c r="I131" s="19" t="inlineStr">
        <is>
          <t>HIGH</t>
        </is>
      </c>
      <c r="J131" s="20" t="inlineStr">
        <is>
          <t>[สำหรับผู้สอน]
นักเรียนวาดโครงสร้าง Binary Search Tree ได้ถูกต้องสมบูรณ์ครบทั้ง 12 โหนดตามเฉลยและเกณฑ์ rubric: Root คือ 9 มีลูกซ้าย 5 และขวา 16; ใต้ 16 มีซ้าย 10 และขวา 76; ใต้ 10 มีลูกขวาคือ 13; ใต้ 13 แตกกิ่งซ้ายเป็น 11 และขวาเป็น 15; ใต้ 76 มีซ้ายคือ 58 (เป็น Leaf Node ชัดเจน ไม่ถูกลากเส้นต่อ) และขวาคือ 92; ใต้ 92 มีซ้าย 80 และขวา 99 เส้นเชื่อมและตำแหน่งถูกต้องตรงตามหลัก BST ทุกประการ
[สำหรับนักเรียน]
ยอดเยี่ยมมากครับ วาดแผนภาพ Binary Search Tree ได้ถูกต้องครบถ้วนสมบูรณ์ทุกโหนด ทั้งตำแหน่งซ้าย-ขวาและความสัมพันธ์ระหว่างโหนดถูกต้องตามเงื่อนไขของ BST ทั้งหมดครับ</t>
        </is>
      </c>
    </row>
    <row r="132" ht="74" customHeight="1">
      <c r="A132" s="6" t="inlineStr">
        <is>
          <t>DS-127</t>
        </is>
      </c>
      <c r="B132" s="6" t="n">
        <v>4</v>
      </c>
      <c r="C132" s="6" t="inlineStr">
        <is>
          <t>text</t>
        </is>
      </c>
      <c r="D132" s="7" t="inlineStr">
        <is>
          <t>จากข้อมูลต่อไปนี้จงนำไปสร้างเป็น Binary search tree
9 16 10 76 5 13 58 92 11 15 80 99</t>
        </is>
      </c>
      <c r="E132" s="6" t="inlineStr">
        <is>
          <t>img</t>
        </is>
      </c>
      <c r="F132" s="8">
        <f>HYPERLINK("photo_clean_ชุดที่1/LINE_ALBUM_Photo1_260917_25.jpg","เปิดภาพคำตอบที่ลบคะแนนแล้ว")</f>
        <v/>
      </c>
      <c r="G132" s="6" t="n">
        <v>1</v>
      </c>
      <c r="H132" s="19" t="n">
        <v>1</v>
      </c>
      <c r="I132" s="19" t="inlineStr">
        <is>
          <t>HIGH</t>
        </is>
      </c>
      <c r="J132" s="20" t="inlineStr">
        <is>
          <t>[สำหรับผู้สอน]
ผู้เรียนสร้าง Binary Search Tree ได้ถูกต้องสมบูรณ์ครบทั้ง 12 โหนดตามลำดับข้อมูลที่กำหนด: Root คือ 9 มีลูกซ้ายเป็น 5 และลูกขวาเป็น 16; โหนด 16 มีลูกซ้าย 10 และลูกขวา 76; โหนด 10 มีลูกขวาเป็น 13; โหนด 13 มีลูกซ้ายเป็น 11 และลูกขวาเป็น 15; โหนด 76 มีลูกซ้ายเป็น 58 (leaf) และลูกขวาเป็น 92; โหนด 92 มีลูกซ้ายเป็น 80 และลูกขวาเป็น 99 โครงสร้างและการเชื่อมต่อตรงตามภาพแนวคำตอบทุกประการ
[สำหรับนักเรียน]
ยอดเยี่ยมมากครับ คุณสร้าง Binary Search Tree ได้ถูกต้องตามกฎของ BST ครบถ้วนทุกโหนด ทั้งความสัมพันธ์ซ้าย-ขวาและการเชื่อมโยงของแต่ละกิ่ง</t>
        </is>
      </c>
    </row>
    <row r="133" ht="74" customHeight="1">
      <c r="A133" s="6" t="inlineStr">
        <is>
          <t>DS-128</t>
        </is>
      </c>
      <c r="B133" s="6" t="n">
        <v>4</v>
      </c>
      <c r="C133" s="6" t="inlineStr">
        <is>
          <t>text</t>
        </is>
      </c>
      <c r="D133" s="7" t="inlineStr">
        <is>
          <t>จากข้อมูลต่อไปนี้จงนำไปสร้างเป็น Binary search tree
9 16 10 76 5 13 58 92 11 15 80 99</t>
        </is>
      </c>
      <c r="E133" s="6" t="inlineStr">
        <is>
          <t>img</t>
        </is>
      </c>
      <c r="F133" s="8">
        <f>HYPERLINK("photo_clean_ชุดที่1/LINE_ALBUM_Photo1_260917_26.jpg","เปิดภาพคำตอบที่ลบคะแนนแล้ว")</f>
        <v/>
      </c>
      <c r="G133" s="6" t="n">
        <v>1</v>
      </c>
      <c r="H133" s="19" t="n">
        <v>1</v>
      </c>
      <c r="I133" s="19" t="inlineStr">
        <is>
          <t>HIGH</t>
        </is>
      </c>
      <c r="J133" s="20" t="inlineStr">
        <is>
          <t>[สำหรับผู้สอน]
นักเรียนวาดโครงสร้าง Binary Search Tree (BST) ได้ถูกต้องครบถ้วนทั้ง 12 โหนดตามลำดับข้อมูลและเฉลย: Root คือ 9 มีลูกซ้ายเป็น 5, ลูกขวาเป็น 16; ใต้ 16 มีลูกซ้ายเป็น 10, ลูกขวาเป็น 76; ใต้ 10 มีลูกขวาเป็น 13; ใต้ 13 มีลูกซ้ายเป็น 11, ลูกขวาเป็น 15; ใต้ 76 มีลูกซ้ายเป็น 58 (เป็น leaf), ลูกขวาเป็น 92; ใต้ 92 มีลูกซ้ายเป็น 80, ลูกขวาเป็น 99 โครงสร้างความสัมพันธ์และทิศทางถูกต้องสมบูรณ์ จึงได้ 1.00 คะแนนเต็ม
[สำหรับนักเรียน]
ยอดเยี่ยมมากครับ การสร้าง Binary Search Tree ถูกต้องครบถ้วนสมบูรณ์ทุกโหนด ทั้งตำแหน่งซ้าย-ขวาและความสัมพันธ์ระหว่างโหนดถูกต้องตามกฎของ BST ครับ</t>
        </is>
      </c>
    </row>
    <row r="134" ht="74" customHeight="1">
      <c r="A134" s="6" t="inlineStr">
        <is>
          <t>DS-129</t>
        </is>
      </c>
      <c r="B134" s="6" t="n">
        <v>4</v>
      </c>
      <c r="C134" s="6" t="inlineStr">
        <is>
          <t>text</t>
        </is>
      </c>
      <c r="D134" s="7" t="inlineStr">
        <is>
          <t>จากข้อมูลต่อไปนี้จงนำไปสร้างเป็น Binary search tree
9 16 10 76 5 13 58 92 11 15 80 99</t>
        </is>
      </c>
      <c r="E134" s="6" t="inlineStr">
        <is>
          <t>img</t>
        </is>
      </c>
      <c r="F134" s="8">
        <f>HYPERLINK("photo_clean_ชุดที่1/LINE_ALBUM_Photo1_260917_27.jpg","เปิดภาพคำตอบที่ลบคะแนนแล้ว")</f>
        <v/>
      </c>
      <c r="G134" s="6" t="n">
        <v>1</v>
      </c>
      <c r="H134" s="19" t="n">
        <v>1</v>
      </c>
      <c r="I134" s="19" t="inlineStr">
        <is>
          <t>HIGH</t>
        </is>
      </c>
      <c r="J134" s="20" t="inlineStr">
        <is>
          <t>[สำหรับผู้สอน]
นักเรียนวาดโครงสร้าง Binary Search Tree ได้ถูกต้องสมบูรณ์ครบทั้ง 12 โหนดตามเฉลยและเกณฑ์ rubric: Root คือ 9 มีลูกซ้ายคือ 5 ลูกขวาคือ 16; ใต้ 16 มีลูกซ้าย 10 ลูกขวา 76; ใต้ 10 มีลูกขวา 13; ใต้ 13 มีลูกซ้าย 11 ลูกขวา 15; ใต้ 76 มีลูกซ้าย 58 (เป็น Leaf Node ชัดเจน ไม่เชื่อมต่อกับ 15) และลูกขวา 92; ใต้ 92 มีลูกซ้าย 80 และลูกขวา 99 โครงสร้างและเส้นเชื่อมถูกต้องทุกประการ
[สำหรับนักเรียน]
ยอดเยี่ยมมากครับ คุณสร้าง Binary Search Tree ได้ถูกต้องสมบูรณ์ครบทั้ง 12 โหนด การจัดวางตำแหน่งโหนดลูกซ้าย-ขวาถูกต้องตามเงื่อนไขของ BST ทุกจุด และการแยกกิ่งของโหนด 13 (มีลูก 11, 15) กับโหนด 58 (เป็น leaf node) ชัดเจนดีมากครับ</t>
        </is>
      </c>
    </row>
    <row r="135" ht="74" customHeight="1">
      <c r="A135" s="6" t="inlineStr">
        <is>
          <t>DS-130</t>
        </is>
      </c>
      <c r="B135" s="6" t="n">
        <v>4</v>
      </c>
      <c r="C135" s="6" t="inlineStr">
        <is>
          <t>text</t>
        </is>
      </c>
      <c r="D135" s="7" t="inlineStr">
        <is>
          <t>จากข้อมูลต่อไปนี้จงนำไปสร้างเป็น Binary search tree
9 16 10 76 5 13 58 92 11 15 80 99</t>
        </is>
      </c>
      <c r="E135" s="6" t="inlineStr">
        <is>
          <t>img</t>
        </is>
      </c>
      <c r="F135" s="8">
        <f>HYPERLINK("photo_clean_ชุดที่1/LINE_ALBUM_Photo1_260917_28.jpg","เปิดภาพคำตอบที่ลบคะแนนแล้ว")</f>
        <v/>
      </c>
      <c r="G135" s="6" t="n">
        <v>1</v>
      </c>
      <c r="H135" s="19" t="n">
        <v>1</v>
      </c>
      <c r="I135" s="19" t="inlineStr">
        <is>
          <t>HIGH</t>
        </is>
      </c>
      <c r="J135" s="20" t="inlineStr">
        <is>
          <t>[สำหรับผู้สอน]
นักเรียนวาดโครงสร้าง Binary Search Tree ได้ถูกต้องสมบูรณ์ครบทั้ง 12 โหนด:
- Root คือ 9 มีลูกซ้ายคือ 5, ลูกขวาคือ 16
- ใต้ 16 มีลูกซ้ายคือ 10, ลูกขวาคือ 76
- ใต้ 10 มีลูกขวาคือ 13
- ใต้ 13 มีลูกซ้ายคือ 11, ลูกขวาคือ 15
- ใต้ 76 มีลูกซ้ายคือ 58 (เป็น leaf node ไม่มีโหนดลูกต่อ), ลูกขวาคือ 92
- ใต้ 92 มีลูกซ้ายคือ 80, ลูกขวาคือ 99
ความสัมพันธ์ระหว่างโหนดถูกต้องตรงตามเฉลยทุกประการ
[สำหรับนักเรียน]
ยอดเยี่ยมมากครับ คุณสร้าง Binary Search Tree ได้ถูกต้องสมบูรณ์ครบถ้วนทุกโหนด ทั้งตำแหน่งซ้าย-ขวา และการเชื่อมโยงของแต่ละโหนดถูกต้องตามลำดับข้อมูลที่กำหนดให้</t>
        </is>
      </c>
    </row>
    <row r="136" ht="74" customHeight="1">
      <c r="A136" s="6" t="inlineStr">
        <is>
          <t>DS-131</t>
        </is>
      </c>
      <c r="B136" s="6" t="n">
        <v>4</v>
      </c>
      <c r="C136" s="6" t="inlineStr">
        <is>
          <t>text</t>
        </is>
      </c>
      <c r="D136" s="7" t="inlineStr">
        <is>
          <t>จากข้อมูลต่อไปนี้จงนำไปสร้างเป็น Binary search tree
9 16 10 76 5 13 58 92 11 15 80 99</t>
        </is>
      </c>
      <c r="E136" s="6" t="inlineStr">
        <is>
          <t>img</t>
        </is>
      </c>
      <c r="F136" s="8">
        <f>HYPERLINK("photo_clean_ชุดที่1/LINE_ALBUM_Photo1_260917_29.jpg","เปิดภาพคำตอบที่ลบคะแนนแล้ว")</f>
        <v/>
      </c>
      <c r="G136" s="6" t="n">
        <v>1</v>
      </c>
      <c r="H136" s="19" t="n">
        <v>1</v>
      </c>
      <c r="I136" s="19" t="inlineStr">
        <is>
          <t>HIGH</t>
        </is>
      </c>
      <c r="J136" s="20" t="inlineStr">
        <is>
          <t>[สำหรับผู้สอน]
นักเรียนวาดโครงสร้าง Binary Search Tree (BST) ได้ถูกต้องสมบูรณ์ครบทั้ง 12 โหนดตามลำดับข้อมูลที่กำหนด: Root คือ 9 (ซ้าย 5, ขวา 16), ใต้ 16 มีซ้าย 10 และขวา 76, ใต้ 10 มีขวา 13, ใต้ 13 มีซ้าย 11 และขวา 15, ใต้ 76 มีซ้าย 58 และขวา 92, ใต้ 92 มีซ้าย 80 และขวา 99 โหนด 58 เป็น leaf node และเส้นเชื่อมทั้งหมดระบุความสัมพันธ์ชัดเจน ตรงตามเฉลยทุกประการ
[สำหรับนักเรียน]
ยอดเยี่ยมมากครับ การสร้าง Binary Search Tree ถูกต้องครบถ้วนทุกโหนด ทั้งตำแหน่งซ้าย-ขวาและการเชื่อมต่อลำดับข้อมูลถูกต้องทั้งหมด</t>
        </is>
      </c>
    </row>
    <row r="137" ht="74" customHeight="1">
      <c r="A137" s="6" t="inlineStr">
        <is>
          <t>DS-132</t>
        </is>
      </c>
      <c r="B137" s="6" t="n">
        <v>4</v>
      </c>
      <c r="C137" s="6" t="inlineStr">
        <is>
          <t>text</t>
        </is>
      </c>
      <c r="D137" s="7" t="inlineStr">
        <is>
          <t>จากข้อมูลต่อไปนี้จงนำไปสร้างเป็น Binary search tree
9 16 10 76 5 13 58 92 11 15 80 99</t>
        </is>
      </c>
      <c r="E137" s="6" t="inlineStr">
        <is>
          <t>img</t>
        </is>
      </c>
      <c r="F137" s="8">
        <f>HYPERLINK("photo_clean_ชุดที่1/LINE_ALBUM_Photo1_260917_30.jpg","เปิดภาพคำตอบที่ลบคะแนนแล้ว")</f>
        <v/>
      </c>
      <c r="G137" s="6" t="n">
        <v>1</v>
      </c>
      <c r="H137" s="19" t="n">
        <v>1</v>
      </c>
      <c r="I137" s="19" t="inlineStr">
        <is>
          <t>HIGH</t>
        </is>
      </c>
      <c r="J137" s="20" t="inlineStr">
        <is>
          <t>[สำหรับผู้สอน]
นักเรียนวาดโครงสร้าง Binary Search Tree ได้ถูกต้องสมบูรณ์ครบทั้ง 12 โหนดตามเฉลย: รากคือ 9 มีลูกซ้ายเป็น 5 และลูกขวาเป็น 16; ใต้ 16 มีลูกซ้ายเป็น 10 และลูกขวาเป็น 76; ใต้ 10 มีลูกขวาเป็น 13; ใต้ 13 มีลูกซ้าย 11 และลูกขวา 15; ใต้ 76 มีลูกซ้าย 58 (เป็น Leaf) และลูกขวา 92; ใต้ 92 มีลูกซ้าย 80 และลูกขวา 99 เส้นเชื่อมและตำแหน่งโหนดถูกต้องทั้งหมดตรงตามเกณฑ์
[สำหรับนักเรียน]
ยอดเยี่ยมมากครับ โครงสร้างของ Binary Search Tree ถูกต้องครบถ้วนทุกโหนด ทั้งตำแหน่งรากและทิศทางของกิ่งซ้าย-ขวา</t>
        </is>
      </c>
    </row>
    <row r="138" ht="74" customHeight="1">
      <c r="A138" s="6" t="inlineStr">
        <is>
          <t>DS-133</t>
        </is>
      </c>
      <c r="B138" s="6" t="n">
        <v>4</v>
      </c>
      <c r="C138" s="6" t="inlineStr">
        <is>
          <t>text</t>
        </is>
      </c>
      <c r="D138" s="7" t="inlineStr">
        <is>
          <t>จากข้อมูลต่อไปนี้จงนำไปสร้างเป็น Binary search tree
9 16 10 76 5 13 58 92 11 15 80 99</t>
        </is>
      </c>
      <c r="E138" s="6" t="inlineStr">
        <is>
          <t>img</t>
        </is>
      </c>
      <c r="F138" s="8">
        <f>HYPERLINK("photo_clean_ชุดที่1/LINE_ALBUM_Photo1_260917_31.jpg","เปิดภาพคำตอบที่ลบคะแนนแล้ว")</f>
        <v/>
      </c>
      <c r="G138" s="6" t="n">
        <v>1</v>
      </c>
      <c r="H138" s="19" t="n">
        <v>1</v>
      </c>
      <c r="I138" s="19" t="inlineStr">
        <is>
          <t>HIGH</t>
        </is>
      </c>
      <c r="J138" s="20" t="inlineStr">
        <is>
          <t>[สำหรับผู้สอน]
นักเรียนวาดโครงสร้าง Binary Search Tree ได้ถูกต้องสมบูรณ์ครบทั้ง 12 โหนดตามลำดับที่กำหนด: Root คือ 9 (ซ้าย 5, ขวา 16), ใต้ 16 ซ้ายเป็น 10 ขวาเป็น 76, ใต้ 10 ทางขวาเป็น 13, ใต้ 13 แยกซ้ายเป็น 11 ขวาเป็น 15, ใต้ 76 แยกซ้ายเป็น 58 (leaf) ขวาเป็น 92, และใต้ 92 แยกซ้ายเป็น 80 ขวาเป็น 99 การจัดวางตำแหน่งและเส้นเชื่อมต่อถูกต้องตรงตามเกณฑ์และภาพเฉลย
[สำหรับนักเรียน]
ยอดเยี่ยมมากครับ คุณสร้าง Binary Search Tree ได้ถูกต้องครบถ้วนทุกโหนด ทั้งตำแหน่งซ้าย-ขวาและการเชื่อมโยงกิ่งถูกต้องตามกฎของ BST ทั้งหมดครับ</t>
        </is>
      </c>
    </row>
    <row r="139" ht="74" customHeight="1">
      <c r="A139" s="6" t="inlineStr">
        <is>
          <t>DS-134</t>
        </is>
      </c>
      <c r="B139" s="6" t="n">
        <v>4</v>
      </c>
      <c r="C139" s="6" t="inlineStr">
        <is>
          <t>text</t>
        </is>
      </c>
      <c r="D139" s="7" t="inlineStr">
        <is>
          <t>จากข้อมูลต่อไปนี้จงนำไปสร้างเป็น Binary search tree
9 16 10 76 5 13 58 92 11 15 80 99</t>
        </is>
      </c>
      <c r="E139" s="6" t="inlineStr">
        <is>
          <t>img</t>
        </is>
      </c>
      <c r="F139" s="8">
        <f>HYPERLINK("photo_clean_ชุดที่1/LINE_ALBUM_Photo1_260917_32.jpg","เปิดภาพคำตอบที่ลบคะแนนแล้ว")</f>
        <v/>
      </c>
      <c r="G139" s="6" t="n">
        <v>1</v>
      </c>
      <c r="H139" s="19" t="n">
        <v>1</v>
      </c>
      <c r="I139" s="19" t="inlineStr">
        <is>
          <t>HIGH</t>
        </is>
      </c>
      <c r="J139" s="20" t="inlineStr">
        <is>
          <t>[สำหรับผู้สอน]
นักเรียนวาดโครงสร้าง Binary Search Tree (BST) ได้ถูกต้องสมบูรณ์ครบทั้ง 12 โหนดตามลำดับข้อมูลที่กำหนด โดยมี Root คือ 9 (ซ้าย 5, ขวา 16), ใต้ 16 ซ้าย 10 ขวา 76, ใต้ 10 ขวา 13, ใต้ 13 ซ้าย 11 ขวา 15, ใต้ 76 ซ้าย 58 ขวา 92, ใต้ 92 ซ้าย 80 ขวา 99 โหนด 58 เป็น leaf node และเส้นเชื่อมจาก 13 ไปยัง 15 ชัดเจน แม้จะมีรอยดินสอร่างเดิมที่ลบออก แต่เส้นคำตอบจริงถูกต้องตรงตามเกณฑ์และเฉลยทุกประการ
[สำหรับนักเรียน]
ยอดเยี่ยมมากครับ คุณสร้าง Binary Search Tree ได้ถูกต้องสมบูรณ์ครบทุกโหนดและวางตำแหน่งซ้าย-ขวาตามกฎของ BST ได้อย่างแม่นยำครับ</t>
        </is>
      </c>
    </row>
    <row r="140" ht="74" customHeight="1">
      <c r="A140" s="6" t="inlineStr">
        <is>
          <t>DS-135</t>
        </is>
      </c>
      <c r="B140" s="6" t="n">
        <v>4</v>
      </c>
      <c r="C140" s="6" t="inlineStr">
        <is>
          <t>text</t>
        </is>
      </c>
      <c r="D140" s="7" t="inlineStr">
        <is>
          <t>จากข้อมูลต่อไปนี้จงนำไปสร้างเป็น Binary search tree
9 16 10 76 5 13 58 92 11 15 80 99</t>
        </is>
      </c>
      <c r="E140" s="6" t="inlineStr">
        <is>
          <t>img</t>
        </is>
      </c>
      <c r="F140" s="8">
        <f>HYPERLINK("photo_clean_ชุดที่1/LINE_ALBUM_Photo1_260917_33.jpg","เปิดภาพคำตอบที่ลบคะแนนแล้ว")</f>
        <v/>
      </c>
      <c r="G140" s="6" t="n">
        <v>1</v>
      </c>
      <c r="H140" s="19" t="n">
        <v>1</v>
      </c>
      <c r="I140" s="19" t="inlineStr">
        <is>
          <t>HIGH</t>
        </is>
      </c>
      <c r="J140" s="20" t="inlineStr">
        <is>
          <t>[สำหรับผู้สอน]
นักเรียนวาดโครงสร้าง Binary Search Tree ได้ถูกต้องสมบูรณ์ครบทั้ง 12 โหนดตามเฉลย: Root คือ 9 (ซ้าย 5, ขวา 16), ใต้ 16 มีซ้าย 10 ขวา 76, ใต้ 10 มีขวา 13, ใต้ 13 แตกกิ่งซ้าย 11 ขวา 15, ใต้ 76 มีซ้าย 58 (เป็น leaf node) ขวา 92, และใต้ 92 มีซ้าย 80 ขวา 99 แม้บริเวณโหนด 13 และ 58 จะอยู่ชิดกันแต่เส้นเชื่อมระบุความสัมพันธ์ชัดเจนและถูกต้องตามกฎการอนุโลม
[สำหรับนักเรียน]
ยอดเยี่ยมมากครับ โครงสร้าง Binary Search Tree ถูกต้องครบถ้วนทุกโหนด ทั้งตำแหน่งซ้าย-ขวาและเส้นเชื่อมต่อความสัมพันธ์ถูกต้องตามหลักการทั้งหมด</t>
        </is>
      </c>
    </row>
    <row r="141" ht="74" customHeight="1">
      <c r="A141" s="6" t="inlineStr">
        <is>
          <t>DS-136</t>
        </is>
      </c>
      <c r="B141" s="6" t="n">
        <v>4</v>
      </c>
      <c r="C141" s="6" t="inlineStr">
        <is>
          <t>text</t>
        </is>
      </c>
      <c r="D141" s="7" t="inlineStr">
        <is>
          <t>จากข้อมูลต่อไปนี้จงนำไปสร้างเป็น Binary search tree
9 16 10 76 5 13 58 92 11 15 80 99</t>
        </is>
      </c>
      <c r="E141" s="6" t="inlineStr">
        <is>
          <t>img</t>
        </is>
      </c>
      <c r="F141" s="8">
        <f>HYPERLINK("photo_clean_ชุดที่1/LINE_ALBUM_Photo1_260917_34.jpg","เปิดภาพคำตอบที่ลบคะแนนแล้ว")</f>
        <v/>
      </c>
      <c r="G141" s="6" t="n">
        <v>1</v>
      </c>
      <c r="H141" s="19" t="n">
        <v>1</v>
      </c>
      <c r="I141" s="19" t="inlineStr">
        <is>
          <t>HIGH</t>
        </is>
      </c>
      <c r="J141" s="20" t="inlineStr">
        <is>
          <t>[สำหรับผู้สอน]
นักเรียนวาดโครงสร้าง Binary Search Tree ได้ถูกต้องสมบูรณ์ครบทั้ง 12 โหนด:
- Root คือ 9 มีลูกซ้ายเป็น 5 และลูกขวาเป็น 16
- ใต้ 16 มีลูกซ้ายเป็น 10 และลูกขวาเป็น 76
- ใต้ 10 มีลูกขวาเป็น 13
- ใต้ 13 มีลูกซ้ายเป็น 11 และลูกขวาเป็น 15
- ใต้ 76 มีลูกซ้ายเป็น 58 (เป็น leaf node) และลูกขวาเป็น 92
- ใต้ 92 มีลูกซ้ายเป็น 80 และลูกขวาเป็น 99
แม้ว่าโหนด 13 และ 58 จะอยู่ชิดกันตามธรรมชาติของชุดข้อมูลนี้ แต่เส้นเชื่อมแสดงเจตนาถูกต้อง ชัดเจน และตรงตามแนวคำตอบทุกประการ
[สำหรับนักเรียน]
ยอดเยี่ยมมากครับ โครงสร้าง Binary Search Tree ถูกต้องครบถ้วนทุกโหนด ทั้งตำแหน่งซ้าย-ขวาและการเชื่อมต่อของแต่ละโหนดถูกต้องตามหลักการทั้งหมด</t>
        </is>
      </c>
    </row>
    <row r="142" ht="74" customHeight="1">
      <c r="A142" s="6" t="inlineStr">
        <is>
          <t>DS-137</t>
        </is>
      </c>
      <c r="B142" s="6" t="n">
        <v>5</v>
      </c>
      <c r="C142" s="6" t="inlineStr">
        <is>
          <t>text</t>
        </is>
      </c>
      <c r="D142" s="7" t="inlineStr">
        <is>
          <t>จงแสดงวิธีการหา Infix Expression ต่อไปนี้ให้เป็น Prefix Expression และ Postfix Expression ด้วยมือ (1 คะแนน) นิพจน์: A + (B * (C - (D / (F * 2))))</t>
        </is>
      </c>
      <c r="E142" s="6" t="inlineStr">
        <is>
          <t>img</t>
        </is>
      </c>
      <c r="F142" s="8">
        <f>HYPERLINK("photo_clean_ชุดที่2/LINE_ALBUM_Photo2.1_260918_1.jpg","เปิดภาพคำตอบที่ลบคะแนนแล้ว")</f>
        <v/>
      </c>
      <c r="G142" s="6" t="n">
        <v>1</v>
      </c>
      <c r="H142" s="6" t="n">
        <v>1</v>
      </c>
      <c r="I142" s="6" t="inlineStr">
        <is>
          <t>high</t>
        </is>
      </c>
      <c r="J142" s="7" t="inlineStr">
        <is>
          <t>[สำหรับผู้สอน]
ผู้เรียนแสดงขั้นตอนการแปลงนิพจน์จากวงเล็บในสุดออกมาทีละชั้นอย่างถูกต้อง ชัดเจน และได้คำตอบสุดท้ายตรงตามเกณฑ์เฉลยทั้งสองส่วน:
1. การหา Prefix Expression: ได้คำตอบสุดท้ายเป็น +A*B-C/D*F2 ครบถ้วน (0.50 คะแนน)
2. การหา Postfix Expression: ได้คำตอบสุดท้ายเป็น ABCDF2*/-*+ ครบถ้วน (0.50 คะแนน)
รวมได้ 1.00 คะแนนเต็ม
[สำหรับนักเรียน]
ยอดเยี่ยมมากครับ! คุณแสดงขั้นตอนการแปลงนิพจน์ทีละลำดับจากวงเล็บในสุดสู่ภายนอกได้อย่างละเอียด ถูกต้องตามหลักการ และได้คำตอบสุดท้ายทั้ง Prefix (+A*B-C/D*F2) และ Postfix (ABCDF2*/-*+) อย่างถูกต้องสมบูรณ์</t>
        </is>
      </c>
    </row>
    <row r="143" ht="74" customHeight="1">
      <c r="A143" s="6" t="inlineStr">
        <is>
          <t>DS-138</t>
        </is>
      </c>
      <c r="B143" s="6" t="n">
        <v>5</v>
      </c>
      <c r="C143" s="6" t="inlineStr">
        <is>
          <t>text</t>
        </is>
      </c>
      <c r="D143" s="7" t="inlineStr">
        <is>
          <t>จงแสดงวิธีการหา Infix Expression ต่อไปนี้ให้เป็น Prefix Expression และ Postfix Expression ด้วยมือ (1 คะแนน) นิพจน์: A + (B * (C - (D / (F * 2))))</t>
        </is>
      </c>
      <c r="E143" s="6" t="inlineStr">
        <is>
          <t>img</t>
        </is>
      </c>
      <c r="F143" s="8">
        <f>HYPERLINK("photo_clean_ชุดที่2/LINE_ALBUM_Photo2.1_260918_2.jpg","เปิดภาพคำตอบที่ลบคะแนนแล้ว")</f>
        <v/>
      </c>
      <c r="G143" s="6" t="n">
        <v>1</v>
      </c>
      <c r="H143" s="6" t="n">
        <v>1</v>
      </c>
      <c r="I143" s="6" t="inlineStr">
        <is>
          <t>high</t>
        </is>
      </c>
      <c r="J143" s="7" t="inlineStr">
        <is>
          <t>[สำหรับผู้สอน]
ผู้เรียนแสดงขั้นตอนการแปลงนิพจน์ทีละลำดับจากวงเล็บด้านในสุดออกมาด้านนอกได้อย่างถูกต้องและชัดเจนทั้งสองฝั่ง:
1. ฝั่ง Prefix Expression แสดงขั้นตอนครบถ้วนและได้คำตอบสุดท้ายคือ = +A*B-C/D*F2 ตรงตามเฉลยแม่แบบ (ได้ 0.50 คะแนน)
2. ฝั่ง Postfix Expression แสดงขั้นตอนครบถ้วนและได้คำตอบสุดท้ายคือ = ABCDF2*/-*+ ตรงตามเฉลยแม่แบบ (ได้ 0.50 คะแนน)
รวมได้คะแนนเต็ม 1.00 คะแนน
[สำหรับนักเรียน]
ยอดเยี่ยมมากครับ แสดงวิธีทำเป็นลำดับขั้นตอนการแปลงจากวงเล็บด้านในสุดออกมาด้านนอกได้อย่างถูกต้อง ชัดเจน และได้คำตอบสุดท้ายถูกต้องสมบูรณ์ทั้ง Prefix Expression (+A*B-C/D*F2) และ Postfix Expression (ABCDF2*/-*+)</t>
        </is>
      </c>
    </row>
    <row r="144" ht="74" customHeight="1">
      <c r="A144" s="6" t="inlineStr">
        <is>
          <t>DS-139</t>
        </is>
      </c>
      <c r="B144" s="6" t="n">
        <v>5</v>
      </c>
      <c r="C144" s="6" t="inlineStr">
        <is>
          <t>text</t>
        </is>
      </c>
      <c r="D144" s="7" t="inlineStr">
        <is>
          <t>จงแสดงวิธีการหา Infix Expression ต่อไปนี้ให้เป็น Prefix Expression และ Postfix Expression ด้วยมือ (1 คะแนน) นิพจน์: A + (B * (C - (D / (F * 2))))</t>
        </is>
      </c>
      <c r="E144" s="6" t="inlineStr">
        <is>
          <t>img</t>
        </is>
      </c>
      <c r="F144" s="8">
        <f>HYPERLINK("photo_clean_ชุดที่2/LINE_ALBUM_Photo2.1_260918_3.jpg","เปิดภาพคำตอบที่ลบคะแนนแล้ว")</f>
        <v/>
      </c>
      <c r="G144" s="6" t="n">
        <v>1</v>
      </c>
      <c r="H144" s="6" t="n">
        <v>1</v>
      </c>
      <c r="I144" s="6" t="inlineStr">
        <is>
          <t>high</t>
        </is>
      </c>
      <c r="J144" s="7" t="inlineStr">
        <is>
          <t>[สำหรับผู้สอน]
ผู้เรียนแสดงวิธีทำและได้คำตอบที่ถูกต้องครบถ้วนทั้งสองส่วน:
1. การหา Prefix Expression: แสดงขั้นตอนการยุบวงเล็บจากในสุดออกสู่นอกสุดอย่างเป็นระบบ และได้คำตอบสุดท้ายคือ + A * B - C / D * F 2 ถูกต้องตามเกณฑ์ (ได้ 0.50 คะแนน)
2. การหา Postfix Expression: แสดงการแปลงโดยใช้ขั้นตอนแบบจำลอง Stack (สัญลักษณ์นำเข้า, สถานะ Stack, ผลลัพธ์) อย่างละเอียดทีละขั้นตอน และได้คำตอบสุดท้ายคือ A B C D F 2 * / - * + ถูกต้องตามเกณฑ์ (ได้ 0.50 คะแนน)
รวมคะแนนเต็ม 1.00 คะแนน
[สำหรับนักเรียน]
ยอดเยี่ยมมากครับ! คุณแสดงขั้นตอนการแปลงทั้ง Prefix และ Postfix Expression ได้อย่างละเอียด ถูกต้อง และเป็นลำดับขั้นตอนชัดเจน คำตอบสุดท้ายถูกต้องสมบูรณ์ทั้งสองข้อครับ</t>
        </is>
      </c>
    </row>
    <row r="145" ht="74" customHeight="1">
      <c r="A145" s="6" t="inlineStr">
        <is>
          <t>DS-140</t>
        </is>
      </c>
      <c r="B145" s="6" t="n">
        <v>5</v>
      </c>
      <c r="C145" s="6" t="inlineStr">
        <is>
          <t>text</t>
        </is>
      </c>
      <c r="D145" s="7" t="inlineStr">
        <is>
          <t>จงแสดงวิธีการหา Infix Expression ต่อไปนี้ให้เป็น Prefix Expression และ Postfix Expression ด้วยมือ (1 คะแนน) นิพจน์: A + (B * (C - (D / (F * 2))))</t>
        </is>
      </c>
      <c r="E145" s="6" t="inlineStr">
        <is>
          <t>img</t>
        </is>
      </c>
      <c r="F145" s="8">
        <f>HYPERLINK("photo_clean_ชุดที่2/LINE_ALBUM_Photo2.1_260918_4.jpg","เปิดภาพคำตอบที่ลบคะแนนแล้ว")</f>
        <v/>
      </c>
      <c r="G145" s="6" t="n">
        <v>1</v>
      </c>
      <c r="H145" s="6" t="n">
        <v>1</v>
      </c>
      <c r="I145" s="6" t="inlineStr">
        <is>
          <t>high</t>
        </is>
      </c>
      <c r="J145" s="7" t="inlineStr">
        <is>
          <t>[สำหรับผู้สอน]
ผู้เรียนแสดงวิธีทำทีละขั้นตอนจากวงเล็บด้านในสุดออกมาด้านนอก และได้คำตอบสุดท้ายถูกต้องครบถ้วนทั้ง 2 ส่วนตามเกณฑ์:
1. การแปลงเป็น Prefix Expression ได้ผลลัพธ์สุดท้ายคือ +A*B-C/D*F2 ครบถ้วนถูกต้อง (0.50 คะแนน)
2. การแปลงเป็น Postfix Expression ได้ผลลัพธ์สุดท้ายคือ ABCDF2*/-*+ ครบถ้วนถูกต้อง (0.50 คะแนน)
รวมคะแนนเต็ม 1.00 คะแนน
[สำหรับนักเรียน]
ยอดเยี่ยมมากครับ แสดงลำดับขั้นตอนการแปลงนิพจน์จากวงเล็บด้านในสุดสู่ด้านนอกได้อย่างถูกต้อง ชัดเจน และได้คำตอบที่ถูกต้องทั้ง Prefix และ Postfix Expression</t>
        </is>
      </c>
    </row>
    <row r="146" ht="74" customHeight="1">
      <c r="A146" s="6" t="inlineStr">
        <is>
          <t>DS-141</t>
        </is>
      </c>
      <c r="B146" s="6" t="n">
        <v>5</v>
      </c>
      <c r="C146" s="6" t="inlineStr">
        <is>
          <t>text</t>
        </is>
      </c>
      <c r="D146" s="7" t="inlineStr">
        <is>
          <t>จงแสดงวิธีการหา Infix Expression ต่อไปนี้ให้เป็น Prefix Expression และ Postfix Expression ด้วยมือ (1 คะแนน) นิพจน์: A + (B * (C - (D / (F * 2))))</t>
        </is>
      </c>
      <c r="E146" s="6" t="inlineStr">
        <is>
          <t>img</t>
        </is>
      </c>
      <c r="F146" s="8">
        <f>HYPERLINK("photo_clean_ชุดที่2/LINE_ALBUM_Photo2.1_260918_5.jpg","เปิดภาพคำตอบที่ลบคะแนนแล้ว")</f>
        <v/>
      </c>
      <c r="G146" s="6" t="n">
        <v>1</v>
      </c>
      <c r="H146" s="6" t="n">
        <v>1</v>
      </c>
      <c r="I146" s="6" t="inlineStr">
        <is>
          <t>high</t>
        </is>
      </c>
      <c r="J146" s="7" t="inlineStr">
        <is>
          <t>[สำหรับผู้สอน]
ผู้เรียนแสดงขั้นตอนการแปลงนิพจน์ด้วยมือได้อย่างละเอียดและถูกต้องครบถ้วนทั้งสองฝั่ง:
1. ฝั่ง Prefix Expression: ดำเนินการจากวงเล็บในสุดออกมาอย่างถูกต้อง และได้ผลลัพธ์สุดท้ายคือ +A*B-C/D*F2 ได้รับ 0.50 คะแนน
2. ฝั่ง Postfix Expression: ดำเนินการย้ายเครื่องหมายไปด้านหลังตามลำดับวงเล็บถูกต้อง และได้ผลลัพธ์สุดท้ายคือ ABCDF2*/-*+ ได้รับ 0.50 คะแนน
รวมได้คะแนนเต็ม 1.00 คะแนน
[สำหรับนักเรียน]
ยอดเยี่ยมมากครับ แสดงขั้นตอนการแปลงทั้ง Prefix และ Postfix จากวงเล็บด้านในสุดออกมาด้านนอกได้อย่างเป็นลำดับขั้นตอนชัดเจน และคำตอบสุดท้ายถูกต้องสมบูรณ์ทั้งสองส่วน</t>
        </is>
      </c>
    </row>
    <row r="147" ht="74" customHeight="1">
      <c r="A147" s="6" t="inlineStr">
        <is>
          <t>DS-142</t>
        </is>
      </c>
      <c r="B147" s="6" t="n">
        <v>5</v>
      </c>
      <c r="C147" s="6" t="inlineStr">
        <is>
          <t>text</t>
        </is>
      </c>
      <c r="D147" s="7" t="inlineStr">
        <is>
          <t>จงแสดงวิธีการหา Infix Expression ต่อไปนี้ให้เป็น Prefix Expression และ Postfix Expression ด้วยมือ (1 คะแนน) นิพจน์: A + (B * (C - (D / (F * 2))))</t>
        </is>
      </c>
      <c r="E147" s="6" t="inlineStr">
        <is>
          <t>img</t>
        </is>
      </c>
      <c r="F147" s="8">
        <f>HYPERLINK("photo_clean_ชุดที่2/LINE_ALBUM_Photo2.1_260918_6.jpg","เปิดภาพคำตอบที่ลบคะแนนแล้ว")</f>
        <v/>
      </c>
      <c r="G147" s="6" t="n">
        <v>1</v>
      </c>
      <c r="H147" s="6" t="n">
        <v>1</v>
      </c>
      <c r="I147" s="6" t="inlineStr">
        <is>
          <t>high</t>
        </is>
      </c>
      <c r="J147" s="7" t="inlineStr">
        <is>
          <t>[สำหรับผู้สอน]
นักเรียนแสดงวิธีทำอย่างละเอียดและถูกต้องสมบูรณ์ทั้งสองส่วน:
1. การหา Prefix Expression: แสดงการแปลงจากวงเล็บด้านในสุดออกมาอย่างเป็นขั้นตอน และได้คำตอบสุดท้ายคือ '+A*B-C/D*F2' ถูกต้องตามเฉลย (ได้ 0.50 คะแนน)
2. การหา Postfix Expression: แสดงการแปลงทีละลำดับวงเล็บถูกต้องครบถ้วน และได้คำตอบสุดท้ายคือ 'ABCDF2*/-*+' ถูกต้องตามเฉลย (ได้ 0.50 คะแนน)
[สำหรับนักเรียน]
ยอดเยี่ยมมากครับ แสดงขั้นตอนการแปลงทั้ง Prefix และ Postfix จากวงเล็บด้านในสุดออกมาด้านนอกได้อย่างถูกต้อง ชัดเจน และได้คำตอบสุดท้ายถูกต้องสมบูรณ์ทั้งสองส่วนครับ</t>
        </is>
      </c>
    </row>
    <row r="148" ht="74" customHeight="1">
      <c r="A148" s="6" t="inlineStr">
        <is>
          <t>DS-143</t>
        </is>
      </c>
      <c r="B148" s="6" t="n">
        <v>5</v>
      </c>
      <c r="C148" s="6" t="inlineStr">
        <is>
          <t>text</t>
        </is>
      </c>
      <c r="D148" s="7" t="inlineStr">
        <is>
          <t>จงแสดงวิธีการหา Infix Expression ต่อไปนี้ให้เป็น Prefix Expression และ Postfix Expression ด้วยมือ (1 คะแนน) นิพจน์: A + (B * (C - (D / (F * 2))))</t>
        </is>
      </c>
      <c r="E148" s="6" t="inlineStr">
        <is>
          <t>img</t>
        </is>
      </c>
      <c r="F148" s="8">
        <f>HYPERLINK("photo_clean_ชุดที่2/LINE_ALBUM_Photo2.1_260918_7.jpg","เปิดภาพคำตอบที่ลบคะแนนแล้ว")</f>
        <v/>
      </c>
      <c r="G148" s="6" t="n">
        <v>1</v>
      </c>
      <c r="H148" s="6" t="n">
        <v>1</v>
      </c>
      <c r="I148" s="6" t="inlineStr">
        <is>
          <t>high</t>
        </is>
      </c>
      <c r="J148" s="7" t="inlineStr">
        <is>
          <t>[สำหรับผู้สอน]
นักเรียนแสดงขั้นตอนการแปลงนิพจน์ทีละขั้นตอนจากวงเล็บด้านในสุดออกมาด้านนอกได้อย่างถูกต้องทั้งสองฝั่ง และได้คำตอบสุดท้ายถูกต้องครบถ้วนตามเกณฑ์:
1. ฝั่ง Prefix Expression แสดงขั้นตอนถูกต้องและได้คำตอบสุดท้ายเป็น '+A*B-C/D*F2' (0.50 คะแนน)
2. ฝั่ง Postfix Expression แสดงขั้นตอนถูกต้องและได้คำตอบสุดท้ายเป็น 'ABCDF2*/-*+' (0.50 คะแนน)
[สำหรับนักเรียน]
ยอดเยี่ยมมากครับ แสดงขั้นตอนการแปลงทั้ง Prefix และ Postfix จากวงเล็บด้านในสุดออกมาด้านนอกได้อย่างเป็นลำดับและถูกต้อง คำตอบสุดท้ายถูกต้องสมบูรณ์ทั้งสองส่วนครับ</t>
        </is>
      </c>
    </row>
    <row r="149" ht="74" customHeight="1">
      <c r="A149" s="6" t="inlineStr">
        <is>
          <t>DS-144</t>
        </is>
      </c>
      <c r="B149" s="6" t="n">
        <v>5</v>
      </c>
      <c r="C149" s="6" t="inlineStr">
        <is>
          <t>text</t>
        </is>
      </c>
      <c r="D149" s="7" t="inlineStr">
        <is>
          <t>จงแสดงวิธีการหา Infix Expression ต่อไปนี้ให้เป็น Prefix Expression และ Postfix Expression ด้วยมือ (1 คะแนน) นิพจน์: A + (B * (C - (D / (F * 2))))</t>
        </is>
      </c>
      <c r="E149" s="6" t="inlineStr">
        <is>
          <t>img</t>
        </is>
      </c>
      <c r="F149" s="8">
        <f>HYPERLINK("photo_clean_ชุดที่2/LINE_ALBUM_Photo2.1_260918_8.jpg","เปิดภาพคำตอบที่ลบคะแนนแล้ว")</f>
        <v/>
      </c>
      <c r="G149" s="6" t="n">
        <v>1</v>
      </c>
      <c r="H149" s="6" t="n">
        <v>1</v>
      </c>
      <c r="I149" s="6" t="inlineStr">
        <is>
          <t>high</t>
        </is>
      </c>
      <c r="J149" s="7" t="inlineStr">
        <is>
          <t>[สำหรับผู้สอน]
นักเรียนแสดงขั้นตอนการแปลงอย่างเป็นลำดับจากวงเล็บด้านในสุดออกมาด้านนอก และได้คำตอบสุดท้ายถูกต้องครบถ้วนทั้ง 2 ส่วนตามเกณฑ์:
1. การหา Prefix Expression: แสดงขั้นตอนถูกต้อง ได้คำตอบ +A*B-C/D*F2 (ได้ 0.50 คะแนน)
2. การหา Postfix Expression: แสดงขั้นตอนถูกต้อง ได้คำตอบ ABCDF2*/-*+ (ได้ 0.50 คะแนน)
รวมได้คะแนนเต็ม 1.00 คะแนน
[สำหรับนักเรียน]
ทำได้ยอดเยี่ยมมากครับ! แสดงวิธีคิดทีละขั้นตอนจากวงเล็บด้านในสุดออกมาได้อย่างเป็นระบบและถูกต้องทั้งหมด ทั้งในส่วนของ Prefix Expression (+A*B-C/D*F2) และ Postfix Expression (ABCDF2*/-*+)</t>
        </is>
      </c>
    </row>
    <row r="150" ht="74" customHeight="1">
      <c r="A150" s="6" t="inlineStr">
        <is>
          <t>DS-145</t>
        </is>
      </c>
      <c r="B150" s="6" t="n">
        <v>5</v>
      </c>
      <c r="C150" s="6" t="inlineStr">
        <is>
          <t>text</t>
        </is>
      </c>
      <c r="D150" s="7" t="inlineStr">
        <is>
          <t>จงแสดงวิธีการหา Infix Expression ต่อไปนี้ให้เป็น Prefix Expression และ Postfix Expression ด้วยมือ (1 คะแนน) นิพจน์: A + (B * (C - (D / (F * 2))))</t>
        </is>
      </c>
      <c r="E150" s="6" t="inlineStr">
        <is>
          <t>img</t>
        </is>
      </c>
      <c r="F150" s="8">
        <f>HYPERLINK("photo_clean_ชุดที่2/LINE_ALBUM_Photo2.1_260918_9.jpg","เปิดภาพคำตอบที่ลบคะแนนแล้ว")</f>
        <v/>
      </c>
      <c r="G150" s="6" t="n">
        <v>1</v>
      </c>
      <c r="H150" s="6" t="n">
        <v>1</v>
      </c>
      <c r="I150" s="6" t="inlineStr">
        <is>
          <t>high</t>
        </is>
      </c>
      <c r="J150" s="7" t="inlineStr">
        <is>
          <t>[สำหรับผู้สอน]
ผู้เรียนแสดงวิธีทำอย่างละเอียดและถูกต้องสมบูรณ์ทั้งสองฝั่งตามเกณฑ์การให้คะแนนและเฉลยแม่แบบ:
1. ฝั่ง Prefix Expression: แสดงการแปลงจากวงเล็บในสุดออกมาทีละชั้น จนได้คำตอบสุดท้ายคือ + A * B - C / D * F 2 (ได้ 0.50 คะแนน)
2. ฝั่ง Postfix Expression: แสดงการแปลงจากวงเล็บในสุดออกมาทีละชั้น จนได้คำตอบสุดท้ายคือ A B C D F 2 * / - * + (ได้ 0.50 คะแนน)
รวมคะแนนเต็ม 1.00 คะแนน
[สำหรับนักเรียน]
ยอดเยี่ยมมากครับ แสดงขั้นตอนการแปลงทั้ง Prefix และ Postfix Expression ได้อย่างถูกต้องและเป็นลำดับขั้นตอนชัดเจน คำตอบสุดท้ายถูกต้องทั้งหมดครับ</t>
        </is>
      </c>
    </row>
    <row r="151" ht="74" customHeight="1">
      <c r="A151" s="6" t="inlineStr">
        <is>
          <t>DS-146</t>
        </is>
      </c>
      <c r="B151" s="6" t="n">
        <v>5</v>
      </c>
      <c r="C151" s="6" t="inlineStr">
        <is>
          <t>text</t>
        </is>
      </c>
      <c r="D151" s="7" t="inlineStr">
        <is>
          <t>จงแสดงวิธีการหา Infix Expression ต่อไปนี้ให้เป็น Prefix Expression และ Postfix Expression ด้วยมือ (1 คะแนน) นิพจน์: A + (B * (C - (D / (F * 2))))</t>
        </is>
      </c>
      <c r="E151" s="6" t="inlineStr">
        <is>
          <t>img</t>
        </is>
      </c>
      <c r="F151" s="8">
        <f>HYPERLINK("photo_clean_ชุดที่2/LINE_ALBUM_Photo2.1_260918_10.jpg","เปิดภาพคำตอบที่ลบคะแนนแล้ว")</f>
        <v/>
      </c>
      <c r="G151" s="6" t="n">
        <v>1</v>
      </c>
      <c r="H151" s="6" t="n">
        <v>1</v>
      </c>
      <c r="I151" s="6" t="inlineStr">
        <is>
          <t>high</t>
        </is>
      </c>
      <c r="J151" s="7" t="inlineStr">
        <is>
          <t>[สำหรับผู้สอน]
นักเรียนแสดงขั้นตอนการแปลงนิพจน์ด้วยมือได้อย่างถูกต้องครบถ้วนทั้งสองฝั่งตามแนวคำตอบแม่แบบ:
1. ฝั่ง Prefix Expression: ดำเนินการแปลงตามลำดับวงเล็บในสุดออกมาด้านนอก ได้คำตอบสุดท้ายเป็น + A * B - C / D * F 2 ถูกต้อง (0.50 คะแนน)
2. ฝั่ง Postfix Expression: ดำเนินการย้ายตัวดำเนินการไปไว้ด้านหลังตามลำดับวงเล็บ ได้คำตอบสุดท้ายเป็น A B C D F 2 * / - * + ถูกต้อง (0.50 คะแนน)
[สำหรับนักเรียน]
ยอดเยี่ยมมากครับ! คุณแสดงขั้นตอนการแปลง Infix ไปเป็นทั้ง Prefix และ Postfix Expression ตามลำดับความสำคัญของวงเล็บได้อย่างถูกต้อง เป็นระเบียบ ชัดเจน และได้คำตอบสุดท้ายที่ถูกต้องสมบูรณ์ทั้งสองข้อครับ</t>
        </is>
      </c>
    </row>
    <row r="152" ht="74" customHeight="1">
      <c r="A152" s="6" t="inlineStr">
        <is>
          <t>DS-147</t>
        </is>
      </c>
      <c r="B152" s="6" t="n">
        <v>5</v>
      </c>
      <c r="C152" s="6" t="inlineStr">
        <is>
          <t>text</t>
        </is>
      </c>
      <c r="D152" s="7" t="inlineStr">
        <is>
          <t>จงแสดงวิธีการหา Infix Expression ต่อไปนี้ให้เป็น Prefix Expression และ Postfix Expression ด้วยมือ (1 คะแนน) นิพจน์: A + (B * (C - (D / (F * 2))))</t>
        </is>
      </c>
      <c r="E152" s="6" t="inlineStr">
        <is>
          <t>img</t>
        </is>
      </c>
      <c r="F152" s="8">
        <f>HYPERLINK("photo_clean_ชุดที่2/LINE_ALBUM_Photo2.1_260918_11.jpg","เปิดภาพคำตอบที่ลบคะแนนแล้ว")</f>
        <v/>
      </c>
      <c r="G152" s="6" t="n">
        <v>1</v>
      </c>
      <c r="H152" s="6" t="n">
        <v>1</v>
      </c>
      <c r="I152" s="6" t="inlineStr">
        <is>
          <t>high</t>
        </is>
      </c>
      <c r="J152" s="7" t="inlineStr">
        <is>
          <t>[สำหรับผู้สอน]
นักเรียนแสดงขั้นตอนการแปลงนิพจน์จากวงเล็บในสุดออกมาทีละชั้นอย่างชัดเจนและถูกต้องสมบูรณ์ทั้งสองฝั่ง:
1. ฝั่ง Prefix Expression แสดงขั้นตอนการย้ายตัวดำเนินการมาไว้หน้าตัวถูกดำเนินการจนได้คำตอบสุดท้ายคือ + A * B - C / D * F 2 ถูกต้อง (ได้ 0.50 คะแนน)
2. ฝั่ง Postfix Expression แสดงขั้นตอนการย้ายตัวดำเนินการมาไว้หลังตัวถูกดำเนินการจนได้คำตอบสุดท้ายคือ A B C D F 2 * / - * + ถูกต้อง (ได้ 0.50 คะแนน)
รวมคะแนนที่ได้ 1.00 เต็มตามเกณฑ์
[สำหรับนักเรียน]
ยอดเยี่ยมมากครับ แสดงขั้นตอนการแปลงทั้ง Prefix และ Postfix จากวงเล็บด้านในสุดออกมาด้านนอกได้อย่างถูกต้อง ชัดเจน และได้คำตอบสุดท้ายที่ถูกต้องสมบูรณ์ทั้งสองฝั่งครับ</t>
        </is>
      </c>
    </row>
    <row r="153" ht="74" customHeight="1">
      <c r="A153" s="6" t="inlineStr">
        <is>
          <t>DS-148</t>
        </is>
      </c>
      <c r="B153" s="6" t="n">
        <v>5</v>
      </c>
      <c r="C153" s="6" t="inlineStr">
        <is>
          <t>text</t>
        </is>
      </c>
      <c r="D153" s="7" t="inlineStr">
        <is>
          <t>จงแสดงวิธีการหา Infix Expression ต่อไปนี้ให้เป็น Prefix Expression และ Postfix Expression ด้วยมือ (1 คะแนน) นิพจน์: A + (B * (C - (D / (F * 2))))</t>
        </is>
      </c>
      <c r="E153" s="6" t="inlineStr">
        <is>
          <t>img</t>
        </is>
      </c>
      <c r="F153" s="8">
        <f>HYPERLINK("photo_clean_ชุดที่2/LINE_ALBUM_Photo2.1_260918_12.jpg","เปิดภาพคำตอบที่ลบคะแนนแล้ว")</f>
        <v/>
      </c>
      <c r="G153" s="6" t="n">
        <v>1</v>
      </c>
      <c r="H153" s="6" t="n">
        <v>1</v>
      </c>
      <c r="I153" s="6" t="inlineStr">
        <is>
          <t>high</t>
        </is>
      </c>
      <c r="J153" s="7" t="inlineStr">
        <is>
          <t>[สำหรับผู้สอน]
ภาพคำตอบวางตะแคง 90 องศาไปทางซ้าย เมื่อปรับแนวตั้งตรงแล้วตรวจพบว่า:
1. ส่วน Prefix Expression (0.5 คะแนน): แสดงลำดับขั้นตอนการแปลงจากวงเล็บด้านในสุดออกมาอย่างถูกต้อง และได้คำตอบสุดท้ายคือ + A * B - C / D * F 2 ตรงตามเฉลยแม่แบบ
2. ส่วน Postfix Expression (0.5 คะแนน): แสดงลำดับขั้นตอนการแปลงจากวงเล็บด้านในสุดออกมาอย่างถูกต้อง และได้คำตอบสุดท้ายคือ ABCDF2*/-*+ ตรงตามเฉลยแม่แบบ
ให้คะแนนเต็ม 1.0 คะแนน
[สำหรับนักเรียน]
เก่งมากครับ แสดงขั้นตอนการแปลงนิพจน์ทั้งแบบ Prefix และ Postfix จากวงเล็บในสุดออกมาทีละชั้นได้อย่างถูกต้อง ลำดับการดำเนินการถูกต้อง และได้คำตอบสุดท้ายที่ถูกต้องสมบูรณ์ทั้งสองข้อครับ</t>
        </is>
      </c>
    </row>
    <row r="154" ht="74" customHeight="1">
      <c r="A154" s="6" t="inlineStr">
        <is>
          <t>DS-149</t>
        </is>
      </c>
      <c r="B154" s="6" t="n">
        <v>5</v>
      </c>
      <c r="C154" s="6" t="inlineStr">
        <is>
          <t>text</t>
        </is>
      </c>
      <c r="D154" s="7" t="inlineStr">
        <is>
          <t>จงแสดงวิธีการหา Infix Expression ต่อไปนี้ให้เป็น Prefix Expression และ Postfix Expression ด้วยมือ (1 คะแนน) นิพจน์: A + (B * (C - (D / (F * 2))))</t>
        </is>
      </c>
      <c r="E154" s="6" t="inlineStr">
        <is>
          <t>img</t>
        </is>
      </c>
      <c r="F154" s="8">
        <f>HYPERLINK("photo_clean_ชุดที่2/LINE_ALBUM_Photo2.1_260918_13.jpg","เปิดภาพคำตอบที่ลบคะแนนแล้ว")</f>
        <v/>
      </c>
      <c r="G154" s="6" t="n">
        <v>1</v>
      </c>
      <c r="H154" s="6" t="n">
        <v>1</v>
      </c>
      <c r="I154" s="6" t="inlineStr">
        <is>
          <t>high</t>
        </is>
      </c>
      <c r="J154" s="7" t="inlineStr">
        <is>
          <t>[สำหรับผู้สอน]
ผู้เรียนแสดงวิธีทำอย่างเป็นลำดับขั้นตอนถูกต้องครบถ้วนทั้งสองส่วน:
1. ส่วนที่ 1 (Prefix Expression): แปลงจากวงเล็บในสุดออกมาทีละชั้นถูกต้อง และได้คำตอบสุดท้ายคือ +A*B-C/D*F2 ครบถ้วน (0.50 คะแนน)
2. ส่วนที่ 2 (Postfix Expression): แปลงจากวงเล็บในสุดออกมาทีละชั้นถูกต้อง และได้คำตอบสุดท้ายคือ ABCDF2*/-*+ ครบถ้วน (0.50 คะแนน)
รวมคะแนนได้ 1.00 เต็มตามเกณฑ์
[สำหรับนักเรียน]
ยอดเยี่ยมมากครับ แสดงวิธีทำแปลงนิพจน์ทีละขั้นตอนจากวงเล็บชั้นในสุดออกสู่ชั้นนอกได้อย่างถูกต้องทั้ง Prefix และ Postfix Expression รวมถึงได้คำตอบสุดท้ายที่ถูกต้องสมบูรณ์ครับ</t>
        </is>
      </c>
    </row>
    <row r="155" ht="74" customHeight="1">
      <c r="A155" s="6" t="inlineStr">
        <is>
          <t>DS-150</t>
        </is>
      </c>
      <c r="B155" s="6" t="n">
        <v>5</v>
      </c>
      <c r="C155" s="6" t="inlineStr">
        <is>
          <t>text</t>
        </is>
      </c>
      <c r="D155" s="7" t="inlineStr">
        <is>
          <t>จงแสดงวิธีการหา Infix Expression ต่อไปนี้ให้เป็น Prefix Expression และ Postfix Expression ด้วยมือ (1 คะแนน) นิพจน์: A + (B * (C - (D / (F * 2))))</t>
        </is>
      </c>
      <c r="E155" s="6" t="inlineStr">
        <is>
          <t>img</t>
        </is>
      </c>
      <c r="F155" s="8">
        <f>HYPERLINK("photo_clean_ชุดที่2/LINE_ALBUM_Photo2.1_260918_14.jpg","เปิดภาพคำตอบที่ลบคะแนนแล้ว")</f>
        <v/>
      </c>
      <c r="G155" s="6" t="n">
        <v>1</v>
      </c>
      <c r="H155" s="6" t="n">
        <v>1</v>
      </c>
      <c r="I155" s="6" t="inlineStr">
        <is>
          <t>high</t>
        </is>
      </c>
      <c r="J155" s="7" t="inlineStr">
        <is>
          <t>[สำหรับผู้สอน]
นักเรียนแสดงขั้นตอนการแปลงนิพจน์ทีละลำดับวงเล็บจากในสุดออกมานอกสุดได้อย่างถูกต้องครบถ้วนทั้งสองฝั่ง
- ฝั่ง Prefix Expression: แสดงการแปลงถูกต้องทุกขั้น และได้คำตอบสุดท้ายคือ +A*B-C/D*F2 (ได้รับ 0.50 คะแนน)
- ฝั่ง Postfix Expression: แสดงการแปลงถูกต้องทุกขั้น และได้คำตอบสุดท้ายคือ ABCDF2*/-*+ (ได้รับ 0.50 คะแนน)
รวมคะแนนที่ได้คือ 1.00 คะแนนเต็ม
[สำหรับนักเรียน]
ยอดเยี่ยมมากครับ แสดงขั้นตอนการแปลงทั้ง Prefix และ Postfix จากวงเล็บด้านในสุดออกมาด้านนอกสุดได้อย่างเป็นลำดับและถูกต้องทั้งหมด ทั้งคำตอบสุดท้ายของทั้งสองแบบถูกต้องสมบูรณ์ครับ</t>
        </is>
      </c>
    </row>
    <row r="156" ht="74" customHeight="1">
      <c r="A156" s="6" t="inlineStr">
        <is>
          <t>DS-151</t>
        </is>
      </c>
      <c r="B156" s="6" t="n">
        <v>5</v>
      </c>
      <c r="C156" s="6" t="inlineStr">
        <is>
          <t>text</t>
        </is>
      </c>
      <c r="D156" s="7" t="inlineStr">
        <is>
          <t>จงแสดงวิธีการหา Infix Expression ต่อไปนี้ให้เป็น Prefix Expression และ Postfix Expression ด้วยมือ (1 คะแนน) นิพจน์: A + (B * (C - (D / (F * 2))))</t>
        </is>
      </c>
      <c r="E156" s="6" t="inlineStr">
        <is>
          <t>img</t>
        </is>
      </c>
      <c r="F156" s="8">
        <f>HYPERLINK("photo_clean_ชุดที่2/LINE_ALBUM_Photo2.1_260918_15.jpg","เปิดภาพคำตอบที่ลบคะแนนแล้ว")</f>
        <v/>
      </c>
      <c r="G156" s="6" t="n">
        <v>1</v>
      </c>
      <c r="H156" s="6" t="n">
        <v>1</v>
      </c>
      <c r="I156" s="6" t="inlineStr">
        <is>
          <t>high</t>
        </is>
      </c>
      <c r="J156" s="7" t="inlineStr">
        <is>
          <t>[สำหรับผู้สอน]
นักเรียนแสดงขั้นตอนการแปลงและให้คำตอบถูกต้องครบถ้วนทั้งสองส่วนตามเกณฑ์เฉลยแม่แบบ:
1. ฝั่ง Prefix Expression: แสดงการแปลงจากวงเล็บในสุดออกมาทีละชั้น และได้คำตอบสุดท้ายคือ + A * B - C / D * F 2 ถูกต้อง (0.50 คะแนน)
2. ฝั่ง Postfix Expression: แสดงการแปลงจากวงเล็บในสุดออกมาทีละชั้น และได้คำตอบสุดท้ายคือ A B C D F 2 * / - * + ถูกต้อง (0.50 คะแนน)
[สำหรับนักเรียน]
ทำได้ยอดเยี่ยมมากครับ แสดงลำดับขั้นตอนการแปลงจากวงเล็บด้านในสุดออกมาด้านนอกได้อย่างถูกต้อง ชัดเจน และได้คำตอบสุดท้ายที่ถูกต้องทั้ง Prefix และ Postfix Expression</t>
        </is>
      </c>
    </row>
    <row r="157" ht="74" customHeight="1">
      <c r="A157" s="6" t="inlineStr">
        <is>
          <t>DS-152</t>
        </is>
      </c>
      <c r="B157" s="6" t="n">
        <v>5</v>
      </c>
      <c r="C157" s="6" t="inlineStr">
        <is>
          <t>text</t>
        </is>
      </c>
      <c r="D157" s="7" t="inlineStr">
        <is>
          <t>จงแสดงวิธีการหา Infix Expression ต่อไปนี้ให้เป็น Prefix Expression และ Postfix Expression ด้วยมือ (1 คะแนน) นิพจน์: A + (B * (C - (D / (F * 2))))</t>
        </is>
      </c>
      <c r="E157" s="6" t="inlineStr">
        <is>
          <t>img</t>
        </is>
      </c>
      <c r="F157" s="8">
        <f>HYPERLINK("photo_clean_ชุดที่2/LINE_ALBUM_Photo2.1_260918_16.jpg","เปิดภาพคำตอบที่ลบคะแนนแล้ว")</f>
        <v/>
      </c>
      <c r="G157" s="6" t="n">
        <v>1</v>
      </c>
      <c r="H157" s="6" t="n">
        <v>1</v>
      </c>
      <c r="I157" s="6" t="inlineStr">
        <is>
          <t>high</t>
        </is>
      </c>
      <c r="J157" s="7" t="inlineStr">
        <is>
          <t>[สำหรับผู้สอน]
ผู้เรียนแสดงวิธีทำอย่างเป็นขั้นตอนถูกต้องทั้งสองฝั่งตามแนวคำตอบแม่แบบ:
1. ฝั่ง Prefix Expression: แปลงจากวงเล็บในสุดออกมาทีละลำดับได้ถูกต้อง คำตอบสุดท้ายคือ '+ A * B - C / D * F 2' (ได้ 0.50 คะแนน)
2. ฝั่ง Postfix Expression: ย้ายตัวดำเนินการไปไว้ด้านหลังตามลำดับวงเล็บได้ถูกต้อง คำตอบสุดท้ายคือ 'A B C D F 2 * / - * +' (ได้ 0.50 คะแนน)
รวมคะแนนที่ได้คือ 1.00 คะแนนเต็ม
[สำหรับนักเรียน]
ยอดเยี่ยมมากครับ! คุณแสดงขั้นตอนการแปลงนิพจน์ทีละลำดับจากวงเล็บในสุดออกมาวงเล็บนอกสุดได้อย่างถูกต้อง ชัดเจน และได้คำตอบสุดท้ายที่ถูกต้องสมบูรณ์ทั้ง Prefix และ Postfix Expression</t>
        </is>
      </c>
    </row>
    <row r="158" ht="74" customHeight="1">
      <c r="A158" s="6" t="inlineStr">
        <is>
          <t>DS-153</t>
        </is>
      </c>
      <c r="B158" s="6" t="n">
        <v>5</v>
      </c>
      <c r="C158" s="6" t="inlineStr">
        <is>
          <t>text</t>
        </is>
      </c>
      <c r="D158" s="7" t="inlineStr">
        <is>
          <t>จงแสดงวิธีการหา Infix Expression ต่อไปนี้ให้เป็น Prefix Expression และ Postfix Expression ด้วยมือ (1 คะแนน) นิพจน์: A + (B * (C - (D / (F * 2))))</t>
        </is>
      </c>
      <c r="E158" s="6" t="inlineStr">
        <is>
          <t>img</t>
        </is>
      </c>
      <c r="F158" s="8">
        <f>HYPERLINK("photo_clean_ชุดที่2/LINE_ALBUM_Photo2.1_260918_17.jpg","เปิดภาพคำตอบที่ลบคะแนนแล้ว")</f>
        <v/>
      </c>
      <c r="G158" s="6" t="n">
        <v>1</v>
      </c>
      <c r="H158" s="6" t="n">
        <v>1</v>
      </c>
      <c r="I158" s="6" t="inlineStr">
        <is>
          <t>high</t>
        </is>
      </c>
      <c r="J158" s="7" t="inlineStr">
        <is>
          <t>[สำหรับผู้สอน]
นักเรียนแสดงขั้นตอนการแปลงนิพจน์ทีละลำดับจากวงเล็บในสุดออกมานอกสุดได้อย่างถูกต้องครบถ้วนทั้งสองฝั่ง และได้คำตอบสุดท้ายตรงตามภาพแนวคำตอบทุกประการ:
- ฝั่ง Prefix Expression ได้ + A * B - C / D * F 2 (0.50 คะแนน)
- ฝั่ง Postfix Expression ได้ A B C D F 2 * / - * + (0.50 คะแนน)
รวมคะแนนเต็ม 1.00 คะแนน
[สำหรับนักเรียน]
ยอดเยี่ยมมากครับ แสดงขั้นตอนการแปลงนิพจน์จากวงเล็บด้านในสุดออกมาทีละชั้นได้อย่างถูกต้องชัดเจน และได้คำตอบสุดท้ายของทั้ง Prefix และ Postfix Expression ถูกต้องสมบูรณ์</t>
        </is>
      </c>
    </row>
    <row r="159" ht="74" customHeight="1">
      <c r="A159" s="6" t="inlineStr">
        <is>
          <t>DS-154</t>
        </is>
      </c>
      <c r="B159" s="6" t="n">
        <v>5</v>
      </c>
      <c r="C159" s="6" t="inlineStr">
        <is>
          <t>text</t>
        </is>
      </c>
      <c r="D159" s="7" t="inlineStr">
        <is>
          <t>จงแสดงวิธีการหา Infix Expression ต่อไปนี้ให้เป็น Prefix Expression และ Postfix Expression ด้วยมือ (1 คะแนน) นิพจน์: A + (B * (C - (D / (F * 2))))</t>
        </is>
      </c>
      <c r="E159" s="6" t="inlineStr">
        <is>
          <t>img</t>
        </is>
      </c>
      <c r="F159" s="8">
        <f>HYPERLINK("photo_clean_ชุดที่2/LINE_ALBUM_Photo2.1_260918_18.jpg","เปิดภาพคำตอบที่ลบคะแนนแล้ว")</f>
        <v/>
      </c>
      <c r="G159" s="6" t="n">
        <v>0.5</v>
      </c>
      <c r="H159" s="6" t="n">
        <v>0.5</v>
      </c>
      <c r="I159" s="6" t="inlineStr">
        <is>
          <t>high</t>
        </is>
      </c>
      <c r="J159" s="7" t="inlineStr">
        <is>
          <t>[สำหรับผู้สอน]
ผู้เรียนทำส่วนที่ 1 (การแปลงเป็น Prefix Expression) ได้ถูกต้อง พร้อมแสดงลูกศร/ขั้นตอนชัดเจนและสรุปคำตอบเป็น +A*B-C/D*F2 ได้ 0.50 คะแนน แต่ในส่วนที่ 2 (การแปลงเป็น Postfix Expression) ผู้เรียนเข้าใจผิดในการประกอบนิพจน์ โดยเขียนเป็น A+B*C-D/F2* ซึ่งยังคงรูปเครื่องหมายสลับกับตัวถูกดำเนินการ ไม่ได้เป็นรูปแบบ Postfix ที่ถูกต้อง (คำตอบที่ถูกต้องคือ ABCDF2*/-*+) จึงได้ 0.00 คะแนนในส่วนนี้ รวมได้ 0.50 คะแนน
[สำหรับนักเรียน]
ในส่วนของ Prefix Expression ทำได้ถูกต้องยอดเยี่ยมครับ (+A*B-C/D*F2) แต่ในส่วนของ Postfix Expression ยังมีความเข้าใจคลาดเคลื่อน ในระบบ Postfix ตัวดำเนินการ (Operator) จะต้องถูกนำไปไว้ 'หลัง' กลุ่มของตัวถูกดำเนินการ (Operands) เสมอ เช่น A + (ก้อนหลัง) จะต้องกลายเป็น A (ก้อนหลัง) + ไม่ใช่ A+ ดังนั้นคำตอบที่ถูกต้องคือ ABCDF2*/-*+ ครับ</t>
        </is>
      </c>
    </row>
    <row r="160" ht="74" customHeight="1">
      <c r="A160" s="6" t="inlineStr">
        <is>
          <t>DS-155</t>
        </is>
      </c>
      <c r="B160" s="6" t="n">
        <v>5</v>
      </c>
      <c r="C160" s="6" t="inlineStr">
        <is>
          <t>text</t>
        </is>
      </c>
      <c r="D160" s="7" t="inlineStr">
        <is>
          <t>จงแสดงวิธีการหา Infix Expression ต่อไปนี้ให้เป็น Prefix Expression และ Postfix Expression ด้วยมือ (1 คะแนน) นิพจน์: A + (B * (C - (D / (F * 2))))</t>
        </is>
      </c>
      <c r="E160" s="6" t="inlineStr">
        <is>
          <t>img</t>
        </is>
      </c>
      <c r="F160" s="8">
        <f>HYPERLINK("photo_clean_ชุดที่2/LINE_ALBUM_Photo2.1_260918_19.jpg","เปิดภาพคำตอบที่ลบคะแนนแล้ว")</f>
        <v/>
      </c>
      <c r="G160" s="6" t="n">
        <v>0.5</v>
      </c>
      <c r="H160" s="6" t="n">
        <v>0.5</v>
      </c>
      <c r="I160" s="6" t="inlineStr">
        <is>
          <t>high</t>
        </is>
      </c>
      <c r="J160" s="7" t="inlineStr">
        <is>
          <t>[สำหรับผู้สอน]
การประเมินแยกเป็น 2 ส่วนตามเกณฑ์:
1. ฝั่ง Prefix Expression (0.50 คะแนน): นักเรียนแสดงขั้นตอนการย้ายตัวดำเนินการไปข้างหน้าตามลำดับวงเล็บจากในสู่ขวาอย่างถูกต้อง และได้คำตอบสุดท้ายคือ '+A*B-C/D*F2' ถูกต้องตรงตามเฉลยแม่แบบ ได้ 0.50 คะแนน
2. ฝั่ง Postfix Expression (0.00 คะแนน): นักเรียนแสดงขั้นตอนสับสน มีการนำเครื่องหมายคงค้างและลำดับผิดพลาด โดยเฉพาะคำตอบสุดท้ายที่เขียนว่า 'A B C D / F 2 * / - * +' ซึ่งมีเครื่องหมาย '/' ซ้ำซ้อนสองครั้ง และตำแหน่งผิดจากเฉลยแม่แบบ (เฉลยที่ถูกต้องคือ 'A B C D F 2 * / - * +') จึงไม่ได้คะแนนในส่วนนี้ (0.00 คะแนน)
รวมคะแนน: 0.50 คะแนน
[สำหรับนักเรียน]
ผลการประเมิน:
- ฝั่ง Prefix Expression: ทำได้ถูกต้องยอดเยี่ยม ทั้งการแสดงขั้นตอนการแปลงนิพจน์จากวงเล็บในสุดออกมาทีละชั้น และได้คำตอบสุดท้ายถูกต้องครบถ้วน (+A*B-C/D*F2)
- ฝั่ง Postfix Expression: ยังมีจุดผิดพลาด ในขั้นตอนการแปลงนิพจน์ (D / (F * 2)) ควรแปลงเป็น (D (F 2 *) /) แต่คำตอบสุดท้ายของนักเรียนได้เป็น A B C D / F 2 * / - * + ซึ่งมีเครื่องหมาย '/' เกินมาและอยู่ผิดตำแหน่ง ลำดับที่ถูกต้องคือ A B C D F 2 * / - * + ขอให้ทบทวนเรื่องการนำ Operator ไปวางหลัง Operands เมื่อปลดวงเล็บในแต่ละขั้นครับ</t>
        </is>
      </c>
    </row>
    <row r="161" ht="74" customHeight="1">
      <c r="A161" s="6" t="inlineStr">
        <is>
          <t>DS-156</t>
        </is>
      </c>
      <c r="B161" s="6" t="n">
        <v>5</v>
      </c>
      <c r="C161" s="6" t="inlineStr">
        <is>
          <t>text</t>
        </is>
      </c>
      <c r="D161" s="7" t="inlineStr">
        <is>
          <t>จงแสดงวิธีการหา Infix Expression ต่อไปนี้ให้เป็น Prefix Expression และ Postfix Expression ด้วยมือ (1 คะแนน) นิพจน์: A + (B * (C - (D / (F * 2))))</t>
        </is>
      </c>
      <c r="E161" s="6" t="inlineStr">
        <is>
          <t>img</t>
        </is>
      </c>
      <c r="F161" s="8">
        <f>HYPERLINK("photo_clean_ชุดที่2/LINE_ALBUM_Photo2.1_260918_20.jpg","เปิดภาพคำตอบที่ลบคะแนนแล้ว")</f>
        <v/>
      </c>
      <c r="G161" s="6" t="n">
        <v>0.5</v>
      </c>
      <c r="H161" s="6" t="n">
        <v>0.5</v>
      </c>
      <c r="I161" s="6" t="inlineStr">
        <is>
          <t>high</t>
        </is>
      </c>
      <c r="J161" s="7" t="inlineStr">
        <is>
          <t>[สำหรับผู้สอน]
การประเมินแยกเป็น 2 ส่วนตามเกณฑ์:
1. ส่วนที่ 1 การหา Prefix Expression (0.50 คะแนน): ผู้เรียนแสดงขั้นตอนการแปลงจากวงเล็บด้านในสุดออกมาด้านนอกได้อย่างถูกต้อง และได้คำตอบสุดท้ายคือ '+A*B-(/D*F2' ซึ่งเทียบเท่ากับ + A * B - C / D * F 2 ตามเฉลย ได้คะแนน 0.50 คะแนน
2. ส่วนที่ 2 การหา Postfix Expression (0.50 คะแนน): ผู้เรียนสลับลำดับตัวถูกดำเนินการ (Operand) ผิด โดยนำผลลัพธ์จากด้านในสุดมาไว้ข้างหน้าแทนที่จะคงลำดับตัวแปรเดิมไว้ ทำให้คำตอบสุดท้ายกลายเป็น 'DF2*/C-B*A+' ซึ่งไม่ถูกต้อง (คำตอบที่ถูกต้องคือ 'A B C D F 2 * / - * +') ได้คะแนน 0.00 คะแนน
[สำหรับนักเรียน]
1. การแปลงเป็น Prefix Expression ทำได้ถูกต้องและแสดงขั้นตอนได้ชัดเจนมาก ได้คำตอบที่ถูกต้องคือ +A*B-C/D*F2
2. การแปลงเป็น Postfix Expression ยังมีความเข้าใจคลาดเคลื่อนเรื่องลำดับของตัวถูกดำเนินการ (Operand) ใน Postfix ตัวแปรจะต้องเรียงลำดับจากซ้ายไปขวาตามนิพจน์เดิมเสมอ (A B C D F 2 ...) แล้วตามด้วยตัวดำเนินการ เช่น (D / (F*2)) ต้องแปลงเป็น (D (F 2 *) /) ไม่ใช่สลับเอาตัวหลังมาไว้ข้างหน้า คำตอบที่ถูกต้องคือ A B C D F 2 * / - * +</t>
        </is>
      </c>
    </row>
    <row r="162" ht="74" customHeight="1">
      <c r="A162" s="6" t="inlineStr">
        <is>
          <t>DS-157</t>
        </is>
      </c>
      <c r="B162" s="6" t="n">
        <v>5</v>
      </c>
      <c r="C162" s="6" t="inlineStr">
        <is>
          <t>text</t>
        </is>
      </c>
      <c r="D162" s="7" t="inlineStr">
        <is>
          <t>จงแสดงวิธีการหา Infix Expression ต่อไปนี้ให้เป็น Prefix Expression และ Postfix Expression ด้วยมือ (1 คะแนน) นิพจน์: A + (B * (C - (D / (F * 2))))</t>
        </is>
      </c>
      <c r="E162" s="6" t="inlineStr">
        <is>
          <t>img</t>
        </is>
      </c>
      <c r="F162" s="8">
        <f>HYPERLINK("photo_clean_ชุดที่2/LINE_ALBUM_Photo2.1_260918_21.jpg","เปิดภาพคำตอบที่ลบคะแนนแล้ว")</f>
        <v/>
      </c>
      <c r="G162" s="6" t="n">
        <v>0.5</v>
      </c>
      <c r="H162" s="6" t="n">
        <v>0.5</v>
      </c>
      <c r="I162" s="6" t="inlineStr">
        <is>
          <t>high</t>
        </is>
      </c>
      <c r="J162" s="7" t="inlineStr">
        <is>
          <t>[สำหรับผู้สอน]
นิสิตทำส่วน Postfix Expression ได้ถูกต้องครบถ้วนตามขั้นตอนและได้คำตอบสุดท้ายคือ ABCDF2*/-*+ (ได้ 0.50 คะแนน)
แต่ในส่วน Prefix Expression นิสิตย้ายตัวดำเนินการทุกตัวไปไว้ด้านหน้าทั้งหมด ทำให้ได้คำตอบผิดเป็น + * - / * ABCDF2 ซึ่งขัดกับหลักการแปลง Prefix ที่แท้จริง (คำตอบที่ถูกต้องคือ + A * B - C / D * F 2) ดังนั้นส่วน Prefix ได้ 0.00 คะแนน
[สำหรับนักเรียน]
การหา Postfix Expression ทำได้ถูกต้องตามขั้นตอนและได้คำตอบที่ถูกต้อง (ABCDF2*/-*+)
สำหรับส่วน Prefix Expression ยังมีความเข้าใจที่คลาดเคลื่อน โดยพบว่ามีการนำตัวดำเนินการทั้งหมดไปไว้หน้าสุดพร้อมกัน คำตอบที่ถูกต้องของการแปลงนิพจน์แบบมีวงเล็บ A + (B * (C - (D / (F * 2)))) ต้องวางตัวดำเนินการไว้หน้าตัวถูกดำเนินการของคู่นั้นๆ ทีละขั้นตอนจากวงเล็บในสุดออกมา:
1. (F * 2) -&gt; * F 2
2. (D / (* F 2)) -&gt; / D * F 2
3. (C - (/ D * F 2)) -&gt; - C / D * F 2
4. (B * (- C / D * F 2)) -&gt; * B - C / D * F 2
5. A + (* B - C / D * F 2) -&gt; + A * B - C / D * F 2</t>
        </is>
      </c>
    </row>
    <row r="163" ht="74" customHeight="1">
      <c r="A163" s="6" t="inlineStr">
        <is>
          <t>DS-158</t>
        </is>
      </c>
      <c r="B163" s="6" t="n">
        <v>5</v>
      </c>
      <c r="C163" s="6" t="inlineStr">
        <is>
          <t>text</t>
        </is>
      </c>
      <c r="D163" s="7" t="inlineStr">
        <is>
          <t>จงแสดงวิธีการหา Infix Expression ต่อไปนี้ให้เป็น Prefix Expression และ Postfix Expression ด้วยมือ (1 คะแนน) นิพจน์: A + (B * (C - (D / (F * 2))))</t>
        </is>
      </c>
      <c r="E163" s="6" t="inlineStr">
        <is>
          <t>img</t>
        </is>
      </c>
      <c r="F163" s="8">
        <f>HYPERLINK("photo_clean_ชุดที่2/LINE_ALBUM_Photo2.1_260918_22.jpg","เปิดภาพคำตอบที่ลบคะแนนแล้ว")</f>
        <v/>
      </c>
      <c r="G163" s="6" t="n">
        <v>0.5</v>
      </c>
      <c r="H163" s="6" t="n">
        <v>0.5</v>
      </c>
      <c r="I163" s="6" t="inlineStr">
        <is>
          <t>high</t>
        </is>
      </c>
      <c r="J163" s="7" t="inlineStr">
        <is>
          <t>[สำหรับผู้สอน]
การประเมินแยกเป็น 2 ส่วนตามเกณฑ์:
1. ส่วนที่ 1 การหา Prefix Expression (0.50 คะแนน): ผู้เรียนแสดงขั้นตอนการย้ายตัวดำเนินการมาไว้หน้าตัวถูกดำเนินการจากวงเล็บในสุดออกมาทีละชั้น และได้คำตอบสุดท้ายถูกต้องคือ +A*B-C/D*F2 (ได้ 0.50 คะแนน)
2. ส่วนที่ 2 การหา Postfix Expression (0.50 คะแนน): ผู้เรียนแปลงเฉพาะตัวดำเนินการด้านในสุด (F 2 *) และตัวนอกสุด (+) แต่ไม่ได้แปลงตัวดำเนินการอื่น ๆ (/, -, *) ให้เป็น Postfix ตามลำดับขั้นตอน ทำให้คำตอบสุดท้ายเป็น AB*C-D/F2*+ ซึ่งผิดหลักการทั้งหมด ไม่ตรงกับแนวคำตอบ ABCDF2*/-*+ (ได้ 0.00 คะแนน)
รวมคะแนน 0.50 คะแนน
[สำหรับนักเรียน]
1. ส่วนของ Prefix Expression ทำได้ถูกต้อง ครบถ้วนตามขั้นตอน ได้คำตอบสุดท้ายที่ถูกต้อง (+A*B-C/D*F2)
2. ส่วนของ Postfix Expression ยังทำไม่ถูกต้อง ในการแปลงเป็น Postfix จะต้องย้ายตัวดำเนินการทุกตัว (รวมถึง /, -, *) ไปไว้หลังตัวถูกดำเนินการของคู่นั้น ๆ ตามลำดับความสำคัญของวงเล็บ เช่น (D / (F 2 *)) ต้องกลายเป็น DF2*/ จากนั้นค่อยนำไปลบกับ C จะได้ CDF2*/- และต่อไปเรื่อย ๆ คำตอบที่ถูกต้องคือ ABCDF2*/-*+</t>
        </is>
      </c>
    </row>
    <row r="164" ht="74" customHeight="1">
      <c r="A164" s="6" t="inlineStr">
        <is>
          <t>DS-159</t>
        </is>
      </c>
      <c r="B164" s="6" t="n">
        <v>5</v>
      </c>
      <c r="C164" s="6" t="inlineStr">
        <is>
          <t>text</t>
        </is>
      </c>
      <c r="D164" s="7" t="inlineStr">
        <is>
          <t>จงแสดงวิธีการหา Infix Expression ต่อไปนี้ให้เป็น Prefix Expression และ Postfix Expression ด้วยมือ (1 คะแนน) นิพจน์: A + (B * (C - (D / (F * 2))))</t>
        </is>
      </c>
      <c r="E164" s="6" t="inlineStr">
        <is>
          <t>img</t>
        </is>
      </c>
      <c r="F164" s="8">
        <f>HYPERLINK("photo_clean_ชุดที่2/LINE_ALBUM_Photo2.1_260918_23.jpg","เปิดภาพคำตอบที่ลบคะแนนแล้ว")</f>
        <v/>
      </c>
      <c r="G164" s="6" t="n">
        <v>1</v>
      </c>
      <c r="H164" s="6" t="n">
        <v>1</v>
      </c>
      <c r="I164" s="6" t="inlineStr">
        <is>
          <t>high</t>
        </is>
      </c>
      <c r="J164" s="7" t="inlineStr">
        <is>
          <t>[สำหรับผู้สอน]
นักเรียนแสดงขั้นตอนการแปลงนิพจน์ได้ถูกต้องครบถ้วนทั้งสองส่วน:
1. Prefix Expression: แสดงการแปลงทีละวงเล็บจากด้านในสู่ด้านนอกอย่างถูกต้อง และได้คำตอบสุดท้ายคือ + A * B - C / D * F 2 (ได้ 0.50 คะแนน)
2. Postfix Expression: แสดงการทำงานโดยใช้ตารางจำลอง Stack/Output ทีละสัญลักษณ์อย่างถูกต้องสมบูรณ์ และได้คำตอบสุดท้ายคือ A B C D F 2 * / - * + (ได้ 0.50 คะแนน)
รวมคะแนนที่ได้คือ 1.00 คะแนนเต็ม
[สำหรับนักเรียน]
ยอดเยี่ยมมากครับ! คุณแสดงวิธีทำได้อย่างเป็นขั้นตอนและเป็นระเบียบชัดเจน ทั้งการแปลงเป็น Prefix ทีละลำดับวงเล็บ และการใช้หลักการ Stack ในการแปลงเป็น Postfix Expression คำตอบสุดท้ายถูกต้องสมบูรณ์ทั้งสองรูปแบบครับ</t>
        </is>
      </c>
    </row>
    <row r="165" ht="74" customHeight="1">
      <c r="A165" s="6" t="inlineStr">
        <is>
          <t>DS-160</t>
        </is>
      </c>
      <c r="B165" s="6" t="n">
        <v>5</v>
      </c>
      <c r="C165" s="6" t="inlineStr">
        <is>
          <t>text</t>
        </is>
      </c>
      <c r="D165" s="7" t="inlineStr">
        <is>
          <t>จงแสดงวิธีการหา Infix Expression ต่อไปนี้ให้เป็น Prefix Expression และ Postfix Expression ด้วยมือ (1 คะแนน) นิพจน์: A + (B * (C - (D / (F * 2))))</t>
        </is>
      </c>
      <c r="E165" s="6" t="inlineStr">
        <is>
          <t>img</t>
        </is>
      </c>
      <c r="F165" s="8">
        <f>HYPERLINK("photo_clean_ชุดที่2/LINE_ALBUM_Photo2.1_260918_24.jpg","เปิดภาพคำตอบที่ลบคะแนนแล้ว")</f>
        <v/>
      </c>
      <c r="G165" s="6" t="n">
        <v>1</v>
      </c>
      <c r="H165" s="6" t="n">
        <v>1</v>
      </c>
      <c r="I165" s="6" t="inlineStr">
        <is>
          <t>high</t>
        </is>
      </c>
      <c r="J165" s="7" t="inlineStr">
        <is>
          <t>[สำหรับผู้สอน]
ผู้เรียนแสดงขั้นตอนการแปลงนิพจน์ทีละลำดับจากวงเล็บในสุดออกมาด้านนอกได้อย่างถูกต้องทั้งสองฝั่ง และคำตอบสุดท้ายตรงตามเฉลยแม่แบบทุกประการ:
- ฝั่ง Prefix Expression: แสดงวิธีทำและได้ผลลัพธ์สุดท้ายคือ +A*B-C/D*F2 (ได้ 0.50 คะแนน)
- ฝั่ง Postfix Expression: แสดงวิธีทำและได้ผลลัพธ์สุดท้ายคือ ABCDF2*/-*+ (ได้ 0.50 คะแนน)
[สำหรับนักเรียน]
ยอดเยี่ยมมากครับ แสดงวิธีทำและลำดับขั้นตอนการแปลงจาก Infix เป็น Prefix และ Postfix Expression จากวงเล็บในสุดออกมาได้อย่างถูกต้องชัดเจน และได้คำตอบสุดท้ายถูกต้องสมบูรณ์ทั้งสองรูปแบบครับ</t>
        </is>
      </c>
    </row>
    <row r="166" ht="74" customHeight="1">
      <c r="A166" s="6" t="inlineStr">
        <is>
          <t>DS-161</t>
        </is>
      </c>
      <c r="B166" s="6" t="n">
        <v>5</v>
      </c>
      <c r="C166" s="6" t="inlineStr">
        <is>
          <t>text</t>
        </is>
      </c>
      <c r="D166" s="7" t="inlineStr">
        <is>
          <t>จงแสดงวิธีการหา Infix Expression ต่อไปนี้ให้เป็น Prefix Expression และ Postfix Expression ด้วยมือ (1 คะแนน) นิพจน์: A + (B * (C - (D / (F * 2))))</t>
        </is>
      </c>
      <c r="E166" s="6" t="inlineStr">
        <is>
          <t>img</t>
        </is>
      </c>
      <c r="F166" s="8">
        <f>HYPERLINK("photo_clean_ชุดที่2/LINE_ALBUM_Photo2.1_260918_25.jpg","เปิดภาพคำตอบที่ลบคะแนนแล้ว")</f>
        <v/>
      </c>
      <c r="G166" s="6" t="n">
        <v>1</v>
      </c>
      <c r="H166" s="6" t="n">
        <v>1</v>
      </c>
      <c r="I166" s="6" t="inlineStr">
        <is>
          <t>high</t>
        </is>
      </c>
      <c r="J166" s="7" t="inlineStr">
        <is>
          <t>[สำหรับผู้สอน]
ผู้เรียนแสดงวิธีทำอย่างเป็นขั้นตอนทั้งสองฝั่ง และได้คำตอบสุดท้ายถูกต้องสมบูรณ์ตามเกณฑ์เฉลย:
1. ฝั่ง Prefix Expression: แสดงการแปลงทีละวงเล็บจากด้านในสุดออกมา และได้คำตอบสุดท้ายคือ `+A*B-C/D*F2` (ได้ 0.50 คะแนน)
2. ฝั่ง Postfix Expression: แสดงการแปลงทีละวงเล็บจากด้านในสุดออกมา และได้คำตอบสุดท้ายคือ `ABCDF2*/-*+` (ได้ 0.50 คะแนน)
รวมได้ 1.00 คะแนนเต็ม
[สำหรับนักเรียน]
ทำได้ถูกต้องและยอดเยี่ยมมากครับ ทั้งการแปลงเป็น Prefix และ Postfix มีการแสดงลำดับขั้นตอนการยุบวงเล็บจากในสุดออกมาด้านนอกอย่างชัดเจน และได้ผลลัพธ์สุดท้ายถูกต้องทั้งสองส่วนครับ</t>
        </is>
      </c>
    </row>
    <row r="167" ht="74" customHeight="1">
      <c r="A167" s="6" t="inlineStr">
        <is>
          <t>DS-162</t>
        </is>
      </c>
      <c r="B167" s="6" t="n">
        <v>5</v>
      </c>
      <c r="C167" s="6" t="inlineStr">
        <is>
          <t>text</t>
        </is>
      </c>
      <c r="D167" s="7" t="inlineStr">
        <is>
          <t>จงแสดงวิธีการหา Infix Expression ต่อไปนี้ให้เป็น Prefix Expression และ Postfix Expression ด้วยมือ (1 คะแนน) นิพจน์: A + (B * (C - (D / (F * 2))))</t>
        </is>
      </c>
      <c r="E167" s="6" t="inlineStr">
        <is>
          <t>img</t>
        </is>
      </c>
      <c r="F167" s="8">
        <f>HYPERLINK("photo_clean_ชุดที่2/LINE_ALBUM_Photo2.1_260918_26.jpg","เปิดภาพคำตอบที่ลบคะแนนแล้ว")</f>
        <v/>
      </c>
      <c r="G167" s="6" t="n">
        <v>0.5</v>
      </c>
      <c r="H167" s="6" t="n">
        <v>0.5</v>
      </c>
      <c r="I167" s="6" t="inlineStr">
        <is>
          <t>high</t>
        </is>
      </c>
      <c r="J167" s="7" t="inlineStr">
        <is>
          <t>[สำหรับผู้สอน]
การประเมินแยกเป็น 2 ส่วนตามเกณฑ์:
1. ส่วน Prefix Expression (0.50 คะแนน): นักเรียนแสดงขั้นตอนการแปลงอย่างเป็นลำดับถูกต้อง และได้คำตอบสุดท้ายคือ '+A*B-C/D*F2' ถูกต้องตรงตามเฉลยแม่แบบทุกประการ ได้รับ 0.50 คะแนน
2. ส่วน Postfix Expression (0.00 คะแนน): นักเรียนทำไม่เสร็จในขั้นตอนสุดท้าย โดยหยุดอยู่ที่ 'A+BCDF2*/-*' และไม่ได้แปลงตัวดำเนินการ '+' นอกสุด ทำให้ไม่ได้คำตอบสุดท้ายที่เป็น 'ABCDF2*/-*+' ตามเกณฑ์จึงได้ 0.00 คะแนน
[สำหรับนักเรียน]
ในส่วนของ Prefix Expression ทำได้ถูกต้องครบถ้วนและแสดงขั้นตอนชัดเจนมากครับ (+A*B-C/D*F2)
แต่ในส่วนของ Postfix Expression ยังทำไม่เสร็จสมบูรณ์ โดยค้างอยู่ที่ขั้นตอน A+BCDF2*/-* ยังไม่ได้ย้ายเครื่องหมาย '+' ตัวนอกสุดไปไว้ท้ายสุด คำตอบที่ถูกต้องคือ ABCDF2*/-*+ ขอให้ระวังการแปลงโอเปอเรเตอร์ตัวนอกสุดด้วยนะครับ</t>
        </is>
      </c>
    </row>
    <row r="168" ht="74" customHeight="1">
      <c r="A168" s="6" t="inlineStr">
        <is>
          <t>DS-163</t>
        </is>
      </c>
      <c r="B168" s="6" t="n">
        <v>5</v>
      </c>
      <c r="C168" s="6" t="inlineStr">
        <is>
          <t>text</t>
        </is>
      </c>
      <c r="D168" s="7" t="inlineStr">
        <is>
          <t>จงแสดงวิธีการหา Infix Expression ต่อไปนี้ให้เป็น Prefix Expression และ Postfix Expression ด้วยมือ (1 คะแนน) นิพจน์: A + (B * (C - (D / (F * 2))))</t>
        </is>
      </c>
      <c r="E168" s="6" t="inlineStr">
        <is>
          <t>img</t>
        </is>
      </c>
      <c r="F168" s="8">
        <f>HYPERLINK("photo_clean_ชุดที่2/LINE_ALBUM_Photo2.1_260918_27.jpg","เปิดภาพคำตอบที่ลบคะแนนแล้ว")</f>
        <v/>
      </c>
      <c r="G168" s="6" t="n">
        <v>0.5</v>
      </c>
      <c r="H168" s="6" t="n">
        <v>0.5</v>
      </c>
      <c r="I168" s="6" t="inlineStr">
        <is>
          <t>high</t>
        </is>
      </c>
      <c r="J168" s="7" t="inlineStr">
        <is>
          <t>[สำหรับผู้สอน]
นิสิตทำฝั่ง Prefix Expression ถูกต้องตามขั้นตอนและได้คำตอบสุดท้ายคือ +A*B-C/D*F2 ได้รับ 0.50 คะแนน ส่วนฝั่ง Postfix Expression ในขั้นตอนที่แปลงการคูณ B * (...) นิสิตเขียนเครื่องหมายผิดเป็น '+' ส่งผลให้คำตอบสุดท้ายกลายเป็น ABCDF2*/-++ (ที่ถูกต้องคือ ABCDF2*/-*+) จึงไม่ได้คะแนนในส่วน Postfix ตามเกณฑ์
[สำหรับนักเรียน]
การแปลงเป็น Prefix ทำได้ถูกต้องครบถ้วนและได้คำตอบที่ถูกต้องครับ (+A*B-C/D*F2) ส่วนการแปลงเป็น Postfix มีจุดผิดพลาดในขั้นตอนการดึงเครื่องหมายคูณหน้า B โดยเขียนสลับเป็นเครื่องหมายบวก (+) ทำให้คำตอบสุดท้ายกลายเป็น ABCDF2*/-++ ซึ่งที่ถูกต้องคือ ABCDF2*/-*+ ควรระมัดระวังการลอกหรือย้ายเครื่องหมายในแต่ละขั้นตอนครับ</t>
        </is>
      </c>
    </row>
    <row r="169" ht="74" customHeight="1">
      <c r="A169" s="6" t="inlineStr">
        <is>
          <t>DS-164</t>
        </is>
      </c>
      <c r="B169" s="6" t="n">
        <v>5</v>
      </c>
      <c r="C169" s="6" t="inlineStr">
        <is>
          <t>text</t>
        </is>
      </c>
      <c r="D169" s="7" t="inlineStr">
        <is>
          <t>จงแสดงวิธีการหา Infix Expression ต่อไปนี้ให้เป็น Prefix Expression และ Postfix Expression ด้วยมือ (1 คะแนน) นิพจน์: A + (B * (C - (D / (F * 2))))</t>
        </is>
      </c>
      <c r="E169" s="6" t="inlineStr">
        <is>
          <t>img</t>
        </is>
      </c>
      <c r="F169" s="8">
        <f>HYPERLINK("photo_clean_ชุดที่2/LINE_ALBUM_Photo2.1_260918_28.jpg","เปิดภาพคำตอบที่ลบคะแนนแล้ว")</f>
        <v/>
      </c>
      <c r="G169" s="6" t="n">
        <v>0.5</v>
      </c>
      <c r="H169" s="6" t="n">
        <v>0.5</v>
      </c>
      <c r="I169" s="6" t="inlineStr">
        <is>
          <t>high</t>
        </is>
      </c>
      <c r="J169" s="7" t="inlineStr">
        <is>
          <t>[สำหรับผู้สอน]
นักเรียนทำฝั่งการแปลงเป็น Prefix Expression ได้ถูกต้องครบถ้วนตามขั้นตอนและได้ผลลัพธ์สุดท้ายคือ +A*B-(/D*F2 (หรือ + A * B - C / D * F 2) ได้ 0.50 คะแนน แต่ในฝั่งการแปลงเป็น Postfix Expression นักเรียนทำผิดตั้งแต่ขั้นตอนการแปลง (D / (F 2 *)) โดยเขียนผลลัพธ์เป็น D F 2 - * / และทำขั้นตอนถัดไปผิดอย่างต่อเนื่องจนได้คำตอบสุดท้ายเป็น A B C D F 2 + - * / * ซึ่งไม่ถูกต้องตามเฉลยแม่แบบ (ที่ถูกต้องคือ A B C D F 2 * / - * +) จึงได้ 0.00 คะแนนในส่วน Postfix รวมคะแนนได้ 0.50 คะแนน
[สำหรับนักเรียน]
การแปลงเป็น Prefix Expression ทำได้ถูกต้อง ครบถ้วนตามลำดับความสำคัญของวงเล็บดีมากครับ (+A*B-C/D*F2)
อย่างไรก็ตาม ในส่วนของ Postfix Expression ยังมีข้อผิดพลาดตั้งแต่ขั้นตอนการแปลงตัวดำเนินการข้างในวงเล็บ เช่น การแปลงการหาร (D / (F 2 *)) ต้องได้เป็น D F 2 * / แต่ในคำตอบเขียนเครื่องหมายลบและคูณสลับเข้ามา ทำให้ลำดับตัวดำเนินการในผลลัพธ์สุดท้ายผิดพลาด ควรทบทวนลำดับการดึงตัวดำเนินการไปไว้ด้านหลังของคู่ Operand แต่ละคู่ให้รอบคอบครับ</t>
        </is>
      </c>
    </row>
    <row r="170" ht="74" customHeight="1">
      <c r="A170" s="6" t="inlineStr">
        <is>
          <t>DS-165</t>
        </is>
      </c>
      <c r="B170" s="6" t="n">
        <v>5</v>
      </c>
      <c r="C170" s="6" t="inlineStr">
        <is>
          <t>text</t>
        </is>
      </c>
      <c r="D170" s="7" t="inlineStr">
        <is>
          <t>จงแสดงวิธีการหา Infix Expression ต่อไปนี้ให้เป็น Prefix Expression และ Postfix Expression ด้วยมือ (1 คะแนน) นิพจน์: A + (B * (C - (D / (F * 2))))</t>
        </is>
      </c>
      <c r="E170" s="6" t="inlineStr">
        <is>
          <t>img</t>
        </is>
      </c>
      <c r="F170" s="8">
        <f>HYPERLINK("photo_clean_ชุดที่2/LINE_ALBUM_Photo2.1_260918_29.jpg","เปิดภาพคำตอบที่ลบคะแนนแล้ว")</f>
        <v/>
      </c>
      <c r="G170" s="6" t="n">
        <v>0.5</v>
      </c>
      <c r="H170" s="6" t="n">
        <v>0.5</v>
      </c>
      <c r="I170" s="6" t="inlineStr">
        <is>
          <t>high</t>
        </is>
      </c>
      <c r="J170" s="7" t="inlineStr">
        <is>
          <t>[สำหรับผู้สอน]
นักเรียนทำส่วนที่ 1 (Prefix Expression) ถูกต้อง แสดงขั้นตอนและได้คำตอบสุดท้ายคือ + A * B - C / D * F 2 (+A*B-C/D*F2) จึงได้ 0.50 คะแนน ในส่วนที่ 2 (Postfix Expression) นักเรียนทำค้างไว้เพียงขั้นตอนแรกๆ และทำไม่สำเร็จ โดยไม่ได้คำตอบสุดท้าย (A B C D F 2 * / - * +) จึงได้ 0.00 คะแนนในส่วนนี้ รวมได้ 0.50 คะแนน
[สำหรับนักเรียน]
ส่วนของ Prefix Expression ทำได้ถูกต้องตามขั้นตอนและได้คำตอบที่ถูกต้อง (+A*B-C/D*F2) แต่ในส่วนของ Postfix Expression ยังทำไม่เสร็จสมบูรณ์ ควรแปลงตัวดำเนินการจากวงเล็บด้านในสุดออกมาทีละชั้นจนครบทุกคู่ คำตอบที่ถูกต้องคือ ABCDF2*/-*+</t>
        </is>
      </c>
    </row>
    <row r="171" ht="74" customHeight="1">
      <c r="A171" s="6" t="inlineStr">
        <is>
          <t>DS-166</t>
        </is>
      </c>
      <c r="B171" s="6" t="n">
        <v>5</v>
      </c>
      <c r="C171" s="6" t="inlineStr">
        <is>
          <t>text</t>
        </is>
      </c>
      <c r="D171" s="7" t="inlineStr">
        <is>
          <t>จงแสดงวิธีการหา Infix Expression ต่อไปนี้ให้เป็น Prefix Expression และ Postfix Expression ด้วยมือ (1 คะแนน) นิพจน์: A + (B * (C - (D / (F * 2))))</t>
        </is>
      </c>
      <c r="E171" s="6" t="inlineStr">
        <is>
          <t>img</t>
        </is>
      </c>
      <c r="F171" s="8">
        <f>HYPERLINK("photo_clean_ชุดที่2/LINE_ALBUM_Photo2.1_260918_30.jpg","เปิดภาพคำตอบที่ลบคะแนนแล้ว")</f>
        <v/>
      </c>
      <c r="G171" s="6" t="n">
        <v>0.5</v>
      </c>
      <c r="H171" s="6" t="n">
        <v>0.5</v>
      </c>
      <c r="I171" s="6" t="inlineStr">
        <is>
          <t>high</t>
        </is>
      </c>
      <c r="J171" s="7" t="inlineStr">
        <is>
          <t>[สำหรับผู้สอน]
การประเมินตาม rubric:
1. ส่วน Prefix Expression (0.50 คะแนน): ผู้เรียนแสดงขั้นตอนและได้คำตอบสุดท้ายเป็น '+A*B-C/D*F2' ถูกต้องตามเฉลยแม่แบบทุกประการ ได้รับ 0.50 คะแนน
2. ส่วน Postfix Expression (0.50 คะแนน): คำตอบสุดท้ายของผู้เรียนคือ 'A B C D F 2 * * / - +' ซึ่งผิดจากเฉลยที่ถูกต้องคือ 'A B C D F 2 * / - * +' (มีเครื่องหมายดอกจันซ้ำและลำดับของเครื่องหมายผิด) ไม่ตรงตามเกณฑ์ จึงได้ 0.00 คะแนน
รวมคะแนนที่ได้คือ 0.50 คะแนน
[สำหรับนักเรียน]
การแปลงเป็น Prefix Expression ทำได้ถูกต้องและแสดงขั้นตอนได้ดีมาก (+A*B-C/D*F2)
แต่ในส่วนของ Postfix Expression ยังมีจุดผิดพลาดในคำตอบสุดท้าย โดยคำตอบที่ถูกต้องคือ ABCDF2*/-*+ ขอให้น้องระมัดระวังลำดับการดึงตัวดำเนินการของแต่ละคู่วงเล็บ โดยเฉพาะคู่วงเล็บของการหาร (/) และการคูณ (*) ของ B ที่ต้องไล่ระดับจากในออกนอกให้ถูกต้อง</t>
        </is>
      </c>
    </row>
    <row r="172" ht="74" customHeight="1">
      <c r="A172" s="6" t="inlineStr">
        <is>
          <t>DS-167</t>
        </is>
      </c>
      <c r="B172" s="6" t="n">
        <v>5</v>
      </c>
      <c r="C172" s="6" t="inlineStr">
        <is>
          <t>text</t>
        </is>
      </c>
      <c r="D172" s="7" t="inlineStr">
        <is>
          <t>จงแสดงวิธีการหา Infix Expression ต่อไปนี้ให้เป็น Prefix Expression และ Postfix Expression ด้วยมือ (1 คะแนน) นิพจน์: A + (B * (C - (D / (F * 2))))</t>
        </is>
      </c>
      <c r="E172" s="6" t="inlineStr">
        <is>
          <t>img</t>
        </is>
      </c>
      <c r="F172" s="8">
        <f>HYPERLINK("photo_clean_ชุดที่2/LINE_ALBUM_Photo2.1_260918_31.jpg","เปิดภาพคำตอบที่ลบคะแนนแล้ว")</f>
        <v/>
      </c>
      <c r="G172" s="6" t="n">
        <v>0</v>
      </c>
      <c r="H172" s="6" t="n">
        <v>0</v>
      </c>
      <c r="I172" s="6" t="inlineStr">
        <is>
          <t>high</t>
        </is>
      </c>
      <c r="J172" s="7" t="inlineStr">
        <is>
          <t>[สำหรับผู้สอน]
ผู้เรียนเพียงแค่คัดลอกนิพจน์ลงในตารางและโยงเส้นจับคู่วงเล็บเป็นลำดับ 1-5 ทั้งสองฝั่ง แต่ไม่ได้ทำการแปลงนิพจน์เป็น Prefix Expression หรือ Postfix Expression และไม่มีคำตอบสุดท้ายเลย จึงไม่ได้คะแนนตามเกณฑ์ทั้งสองส่วน (0.00 คะแนน)
[สำหรับนักเรียน]
นักเรียนวิเคราะห์ลำดับการทำงานของวงเล็บ (ลำดับ 1 ถึง 5) ได้ถูกต้องแล้ว แต่ยังไม่ได้ทำการแปลงเครื่องหมายให้อยู่ในรูป Prefix (เครื่องหมายอยู่หน้าตัวถูกดำเนินการ) หรือ Postfix (เครื่องหมายอยู่หลังตัวถูกดำเนินการ) และยังไม่ได้เขียนคำตอบสุดท้าย กรุณาฝึกแปลงตามลำดับขั้นตอนและสรุปคำตอบให้สมบูรณ์ครับ</t>
        </is>
      </c>
    </row>
    <row r="173" ht="74" customHeight="1">
      <c r="A173" s="6" t="inlineStr">
        <is>
          <t>DS-168</t>
        </is>
      </c>
      <c r="B173" s="6" t="n">
        <v>5</v>
      </c>
      <c r="C173" s="6" t="inlineStr">
        <is>
          <t>text</t>
        </is>
      </c>
      <c r="D173" s="7" t="inlineStr">
        <is>
          <t>จงแสดงวิธีการหา Infix Expression ต่อไปนี้ให้เป็น Prefix Expression และ Postfix Expression ด้วยมือ (1 คะแนน) นิพจน์: A + (B * (C - (D / (F * 2))))</t>
        </is>
      </c>
      <c r="E173" s="6" t="inlineStr">
        <is>
          <t>img</t>
        </is>
      </c>
      <c r="F173" s="8">
        <f>HYPERLINK("photo_clean_ชุดที่2/LINE_ALBUM_Photo2.1_260918_32.jpg","เปิดภาพคำตอบที่ลบคะแนนแล้ว")</f>
        <v/>
      </c>
      <c r="G173" s="6" t="n">
        <v>1</v>
      </c>
      <c r="H173" s="6" t="n">
        <v>1</v>
      </c>
      <c r="I173" s="6" t="inlineStr">
        <is>
          <t>high</t>
        </is>
      </c>
      <c r="J173" s="7" t="inlineStr">
        <is>
          <t>[สำหรับผู้สอน]
นักเรียนแสดงขั้นตอนการแปลงนิพจน์ทีละลำดับจากวงเล็บในสุดออกมาสู่วงเล็บนอกสุดได้อย่างถูกต้องครบถ้วนทั้งสองฝั่ง:
1. ฝั่ง Prefix Expression แสดงขั้นตอนถูกต้องและได้คำตอบสุดท้ายคือ +A*B-C/D*F2 ได้คะแนน 0.50 คะแนน
2. ฝั่ง Postfix Expression แสดงขั้นตอนถูกต้องและได้คำตอบสุดท้ายคือ ABCDF2*/-*+ ได้คะแนน 0.50 คะแนน
รวมคะแนนเต็ม 1.00 คะแนน
[สำหรับนักเรียน]
เก่งมากครับ แสดงขั้นตอนการแปลงทั้ง Prefix และ Postfix ทีละลำดับจากวงเล็บด้านในสุดออกมาจนถึงวงเล็บนอกสุดได้อย่างถูกต้องและเป็นระเบียบ คำตอบสุดท้ายถูกต้องทั้งหมดครับ</t>
        </is>
      </c>
    </row>
    <row r="174" ht="74" customHeight="1">
      <c r="A174" s="6" t="inlineStr">
        <is>
          <t>DS-169</t>
        </is>
      </c>
      <c r="B174" s="6" t="n">
        <v>5</v>
      </c>
      <c r="C174" s="6" t="inlineStr">
        <is>
          <t>text</t>
        </is>
      </c>
      <c r="D174" s="7" t="inlineStr">
        <is>
          <t>จงแสดงวิธีการหา Infix Expression ต่อไปนี้ให้เป็น Prefix Expression และ Postfix Expression ด้วยมือ (1 คะแนน) นิพจน์: A + (B * (C - (D / (F * 2))))</t>
        </is>
      </c>
      <c r="E174" s="6" t="inlineStr">
        <is>
          <t>img</t>
        </is>
      </c>
      <c r="F174" s="8">
        <f>HYPERLINK("photo_clean_ชุดที่2/LINE_ALBUM_Photo2.1_260918_33.jpg","เปิดภาพคำตอบที่ลบคะแนนแล้ว")</f>
        <v/>
      </c>
      <c r="G174" s="6" t="n">
        <v>0.5</v>
      </c>
      <c r="H174" s="6" t="n">
        <v>0.5</v>
      </c>
      <c r="I174" s="6" t="inlineStr">
        <is>
          <t>high</t>
        </is>
      </c>
      <c r="J174" s="7" t="inlineStr">
        <is>
          <t>[สำหรับผู้สอน]
การประเมินแยกตาม 2 ส่วนของเกณฑ์:
1. ส่วน Prefix Expression (0.50 คะแนน): ผู้เรียนแสดงขั้นตอนการแปลงและได้คำตอบสุดท้ายคือ '+ A * B - C / D * F 2' (ตรงตามเฉลยแม่แบบ) จึงได้ 0.50 คะแนนเต็มในส่วนนี้
2. ส่วน Postfix Expression (0.00 คะแนน): ผู้เรียนใช้วิธีตาราง Stack แต่คัดลอกนิพจน์ผิด (มีวงเล็บเกินหลายจุด เช่น CC) และจัดการ Stack ผิดพลาด คำตอบสุดท้ายที่ได้คือ 'AB*CD/F2*+' ซึ่งผิดจากเฉลยที่ถูกต้องคือ 'A B C D F 2 * / - * +' จึงได้ 0.00 คะแนน
[สำหรับนักเรียน]
1. การแปลงเป็น Prefix Expression ทำได้ถูกต้องและได้คำตอบ '+ A * B - C / D * F 2' ครบถ้วนตามขั้นตอนครับ (ได้ 0.5 คะแนน)
2. การแปลงเป็น Postfix Expression ยังมีจุดผิดพลาด: สังเกตว่าในตารางมีการลอกเครื่องหมายวงเล็บเปิด '(' ซ้ำซ้อนหลายตำแหน่ง และเมื่อเจอดำเนินการคูณ/ลบ/หาร ไม่ได้คำนึงถึงลำดับความสำคัญและขอบเขตของวงเล็บอย่างถูกต้อง ทำให้เครื่องหมาย '*' หลุดออกมาอยู่หลัง B และตัวดำเนินการ '-' กับ '/' หลุดหายไปบางส่วน คำตอบที่ถูกต้องคือ 'A B C D F 2 * / - * +' ครับ</t>
        </is>
      </c>
    </row>
    <row r="175" ht="74" customHeight="1">
      <c r="A175" s="6" t="inlineStr">
        <is>
          <t>DS-170</t>
        </is>
      </c>
      <c r="B175" s="6" t="n">
        <v>5</v>
      </c>
      <c r="C175" s="6" t="inlineStr">
        <is>
          <t>text</t>
        </is>
      </c>
      <c r="D175" s="7" t="inlineStr">
        <is>
          <t>จงแสดงวิธีการหา Infix Expression ต่อไปนี้ให้เป็น Prefix Expression และ Postfix Expression ด้วยมือ (1 คะแนน) นิพจน์: A + (B * (C - (D / (F * 2))))</t>
        </is>
      </c>
      <c r="E175" s="6" t="inlineStr">
        <is>
          <t>img</t>
        </is>
      </c>
      <c r="F175" s="8">
        <f>HYPERLINK("photo_clean_ชุดที่2/LINE_ALBUM_Photo2.1_260918_34.jpg","เปิดภาพคำตอบที่ลบคะแนนแล้ว")</f>
        <v/>
      </c>
      <c r="G175" s="6" t="n">
        <v>1</v>
      </c>
      <c r="H175" s="6" t="n">
        <v>1</v>
      </c>
      <c r="I175" s="6" t="inlineStr">
        <is>
          <t>high</t>
        </is>
      </c>
      <c r="J175" s="7" t="inlineStr">
        <is>
          <t>[สำหรับผู้สอน]
นักเรียนแสดงขั้นตอนการแปลงนิพจน์ทีละลำดับจากวงเล็บในสุดออกมาสู่วงเล็บนอกสุดได้อย่างถูกต้องครบถ้วนทั้งสองฝั่ง:
1. ฝั่ง Prefix Expression แสดงขั้นตอนถูกต้องและได้ผลลัพธ์สุดท้ายเป็น +A*B-C/D*F2 (0.50 คะแนน)
2. ฝั่ง Postfix Expression แสดงขั้นตอนถูกต้องและได้ผลลัพธ์สุดท้ายเป็น ABCDF2*/-*+ (0.50 คะแนน)
รวมคะแนนเต็ม 1.00 คะแนน
[สำหรับนักเรียน]
ยอดเยี่ยมมากครับ แสดงลำดับขั้นตอนการแปลงจากวงเล็บด้านในสุดออกมาด้านนอกได้อย่างถูกต้องและเป็นระเบียบชัดเจน ได้คำตอบสุดท้ายที่ถูกต้องสมบูรณ์ทั้ง Prefix และ Postfix Expression ครับ</t>
        </is>
      </c>
    </row>
    <row r="176" ht="74" customHeight="1">
      <c r="A176" s="6" t="inlineStr">
        <is>
          <t>DS-171</t>
        </is>
      </c>
      <c r="B176" s="6" t="n">
        <v>6</v>
      </c>
      <c r="C176" s="6" t="inlineStr">
        <is>
          <t>img</t>
        </is>
      </c>
      <c r="D176" s="8">
        <f>HYPERLINK("โจทphoto3/LINE_ALBUM_โจทphoto6_260918_1.jpg", "🔗 [เปิดรูปโจทย์] จงแปลง tree ต่อไปนี้ให้เป็น Binary Tree")</f>
        <v/>
      </c>
      <c r="E176" s="6" t="inlineStr">
        <is>
          <t>img</t>
        </is>
      </c>
      <c r="F176" s="8">
        <f>HYPERLINK("photo_clean_ชุดที่3/LINE_ALBUM_Photo2.2_260918_1.jpg","เปิดภาพคำตอบที่ลบคะแนนแล้ว")</f>
        <v/>
      </c>
      <c r="G176" s="6" t="n">
        <v>0</v>
      </c>
      <c r="H176" s="6" t="n">
        <v>0</v>
      </c>
      <c r="I176" s="6" t="inlineStr">
        <is>
          <t>HIGH</t>
        </is>
      </c>
      <c r="J176" s="7" t="inlineStr">
        <is>
          <t>[สำหรับผู้สอน]
นักเรียนเขียนเพียงตัวเลขเรียงกันในแนวนอน '1 2 3 4 5 6 7 8 9 10//' และวงกลมล้อมรอบโหนด 2, 3, 4 ในรูปโจทย์ โดยไม่ได้วาดโครงสร้าง Binary Tree ตามหลักการ Left-Child Right-Sibling (LCRS) เลย ตามเกณฑ์ rubric จึงได้ 0.00 คะแนน
[สำหรับนักเรียน]
ในข้อนี้โจทย์ต้องการให้แปลง General Tree เป็น Binary Tree ตามหลักการ Left-Child Right-Sibling (LCRS) ซึ่งต้องวาดเป็นแผนภาพต้นไม้สองทาง โดยลูกคนแรกสุด (ซ้ายสุด) จะเป็น Left Child และพี่น้องที่อยู่ติดกันถัดไปทางขวาจะเป็น Right Child ไม่สามารถตอบเป็นเพียงตัวเลขเรียงกันได้ครับ</t>
        </is>
      </c>
    </row>
    <row r="177" ht="74" customHeight="1">
      <c r="A177" s="6" t="inlineStr">
        <is>
          <t>DS-172</t>
        </is>
      </c>
      <c r="B177" s="6" t="n">
        <v>6</v>
      </c>
      <c r="C177" s="6" t="inlineStr">
        <is>
          <t>img</t>
        </is>
      </c>
      <c r="D177" s="8">
        <f>HYPERLINK("โจทphoto3/LINE_ALBUM_โจทphoto6_260918_1.jpg", "🔗 [เปิดรูปโจทย์] จงแปลง tree ต่อไปนี้ให้เป็น Binary Tree")</f>
        <v/>
      </c>
      <c r="E177" s="6" t="inlineStr">
        <is>
          <t>img</t>
        </is>
      </c>
      <c r="F177" s="8">
        <f>HYPERLINK("photo_clean_ชุดที่3/LINE_ALBUM_Photo2.2_260918_2.jpg","เปิดภาพคำตอบที่ลบคะแนนแล้ว")</f>
        <v/>
      </c>
      <c r="G177" s="6" t="n">
        <v>1</v>
      </c>
      <c r="H177" s="6" t="n">
        <v>1</v>
      </c>
      <c r="I177" s="6" t="inlineStr">
        <is>
          <t>HIGH</t>
        </is>
      </c>
      <c r="J177" s="7" t="inlineStr">
        <is>
          <t>[สำหรับผู้สอน]
นักเรียนแปลง General Tree เป็น Binary Tree ตามหลักการ Left-Child Right-Sibling (LCRS) ได้อย่างถูกต้องสมบูรณ์:
- โหนด 1 มีกิ่งซ้ายคือ 2 (และไม่มีกิ่งขวา)
- โหนด 2 มีกิ่งซ้ายคือ 5 และกิ่งขวาคือ 3
- จาก 5 มีกิ่งขวาต่อไปยัง 6 และต่อไปยัง 7
- จาก 3 มีกิ่งขวาต่อไปยัง 4
- จาก 4 มีกิ่งซ้ายลงมาเป็น 8 และจาก 8 มีกิ่งขวาต่อไปยัง 9 และต่อไปยัง 10 ครบถ้วนถูกต้องทุกตำแหน่งตามเกณฑ์
[สำหรับนักเรียน]
ยอดเยี่ยมมากครับ! คุณสามารถแปลง General Tree เป็น Binary Tree ตามกฎ Left-Child Right-Sibling ได้อย่างถูกต้องครบถ้วน ทั้งการกำหนดโหนดลูกคนแรกเป็นกิ่งซ้าย (Left Child) และพี่น้องถัดไปเป็นกิ่งขวา (Right Sibling)</t>
        </is>
      </c>
    </row>
    <row r="178" ht="74" customHeight="1">
      <c r="A178" s="6" t="inlineStr">
        <is>
          <t>DS-173</t>
        </is>
      </c>
      <c r="B178" s="6" t="n">
        <v>6</v>
      </c>
      <c r="C178" s="6" t="inlineStr">
        <is>
          <t>img</t>
        </is>
      </c>
      <c r="D178" s="8">
        <f>HYPERLINK("โจทphoto3/LINE_ALBUM_โจทphoto6_260918_1.jpg", "🔗 [เปิดรูปโจทย์] จงแปลง tree ต่อไปนี้ให้เป็น Binary Tree")</f>
        <v/>
      </c>
      <c r="E178" s="6" t="inlineStr">
        <is>
          <t>img</t>
        </is>
      </c>
      <c r="F178" s="8">
        <f>HYPERLINK("photo_clean_ชุดที่3/LINE_ALBUM_Photo2.2_260918_3.jpg","เปิดภาพคำตอบที่ลบคะแนนแล้ว")</f>
        <v/>
      </c>
      <c r="G178" s="6" t="n">
        <v>0</v>
      </c>
      <c r="H178" s="6" t="n">
        <v>0</v>
      </c>
      <c r="I178" s="6" t="inlineStr">
        <is>
          <t>HIGH</t>
        </is>
      </c>
      <c r="J178" s="7" t="inlineStr">
        <is>
          <t>[สำหรับผู้สอน]
นักเรียนเขียนโหนดต่อกันเป็นเส้นตรงเส้นเดียวตามลำดับตัวเลข 1 -&gt; 2 -&gt; 3 -&gt; 4 -&gt; 5 -&gt; 6 -&gt; 7 -&gt; 8 -&gt; 9 -&gt; 10 ซึ่งไม่ถูกต้องตามหลักการแปลง General Tree เป็น Binary Tree ด้วยวิธี Left-Child Right-Sibling (LCRS) ตามเกณฑ์ที่ระบุไว้ว่าการวาดเป็นเส้นตรงเรียงเดี่ยวจะได้ 0.00 คะแนน
[สำหรับนักเรียน]
คำตอบยังไม่ถูกต้องครับ การแปลง General Tree เป็น Binary Tree ด้วยหลัก Left-Child Right-Sibling (LCRS) มีหลักการสำคัญคือ:
1. กิ่งซ้าย (Left Child) จะชี้ไปยัง 'ลูกคนแรก' (First Child) ของโหนดนั้นๆ เช่น ลูกคนแรกของ 1 คือ 2, ลูกคนแรกของ 2 คือ 5
2. กิ่งขวา (Right Child) จะชี้ไปยัง 'พี่น้องลำดับถัดไป' (Next Sibling) ในระดับเดียวกัน เช่น พี่น้องถัดจาก 2 คือ 3, และถัดจาก 3 คือ 4
ไม่ควรนำโหนดทั้งหมดมาเชื่อมต่อเป็นเส้นตรงเส้นเดียวนะครับ ลองทบทวนการระบุ First Child และ Next Sibling ของแต่ละโหนดดูใหม่อีกครั้งครับ</t>
        </is>
      </c>
    </row>
    <row r="179" ht="74" customHeight="1">
      <c r="A179" s="6" t="inlineStr">
        <is>
          <t>DS-174</t>
        </is>
      </c>
      <c r="B179" s="6" t="n">
        <v>6</v>
      </c>
      <c r="C179" s="6" t="inlineStr">
        <is>
          <t>img</t>
        </is>
      </c>
      <c r="D179" s="8">
        <f>HYPERLINK("โจทphoto3/LINE_ALBUM_โจทphoto6_260918_1.jpg", "🔗 [เปิดรูปโจทย์] จงแปลง tree ต่อไปนี้ให้เป็น Binary Tree")</f>
        <v/>
      </c>
      <c r="E179" s="6" t="inlineStr">
        <is>
          <t>img</t>
        </is>
      </c>
      <c r="F179" s="8">
        <f>HYPERLINK("photo_clean_ชุดที่3/LINE_ALBUM_Photo2.2_260918_4.jpg","เปิดภาพคำตอบที่ลบคะแนนแล้ว")</f>
        <v/>
      </c>
      <c r="G179" s="6" t="n">
        <v>1</v>
      </c>
      <c r="H179" s="6" t="n">
        <v>1</v>
      </c>
      <c r="I179" s="6" t="inlineStr">
        <is>
          <t>HIGH</t>
        </is>
      </c>
      <c r="J179" s="7" t="inlineStr">
        <is>
          <t>[สำหรับผู้สอน]
ภาพถ่ายวางในแนวนอน หมุนทิศทางเพื่อตรวจแล้วพบว่านักเรียนวาดโครงสร้าง Binary Tree ตามหลัก Left-Child Right-Sibling (LCRS) ได้ถูกต้องสมบูรณ์:
- โหนด 1 เป็น Root มี Left Child เป็น 2 และไม่มี Right Sibling
- โหนด 2 มี Left Child เป็น 5 และ Right Child เป็น 3
- โหนด 5 มี Right Child เป็น 6 และโหนด 6 มี Right Child เป็น 7 (ไม่มี Left Child)
- โหนด 3 มี Right Child เป็น 4 (ไม่มี Left Child)
- โหนด 4 มี Left Child เป็น 8 (ไม่มี Right Child)
- โหนด 8 มี Right Child เป็น 9 และโหนด 9 มี Right Child เป็น 10
ครบถ้วนถูกต้องตามเกณฑ์ทุกประการ ให้คะแนนเต็ม 1.00
[สำหรับนักเรียน]
ทำได้ถูกต้องยอดเยี่ยมครับ แปลง General Tree เป็น Binary Tree ตามหลัก Left-Child Right-Sibling (ลูกคนแรกอยู่ซ้าย พี่น้องถัดไปอยู่ขวา) ได้อย่างถูกต้องครบถ้วนทุกโหนด</t>
        </is>
      </c>
    </row>
    <row r="180" ht="74" customHeight="1">
      <c r="A180" s="6" t="inlineStr">
        <is>
          <t>DS-175</t>
        </is>
      </c>
      <c r="B180" s="6" t="n">
        <v>6</v>
      </c>
      <c r="C180" s="6" t="inlineStr">
        <is>
          <t>img</t>
        </is>
      </c>
      <c r="D180" s="8">
        <f>HYPERLINK("โจทphoto3/LINE_ALBUM_โจทphoto6_260918_1.jpg", "🔗 [เปิดรูปโจทย์] จงแปลง tree ต่อไปนี้ให้เป็น Binary Tree")</f>
        <v/>
      </c>
      <c r="E180" s="6" t="inlineStr">
        <is>
          <t>img</t>
        </is>
      </c>
      <c r="F180" s="8">
        <f>HYPERLINK("photo_clean_ชุดที่3/LINE_ALBUM_Photo2.2_260918_5.jpg","เปิดภาพคำตอบที่ลบคะแนนแล้ว")</f>
        <v/>
      </c>
      <c r="G180" s="6" t="n">
        <v>0</v>
      </c>
      <c r="H180" s="6" t="n">
        <v>0</v>
      </c>
      <c r="I180" s="6" t="inlineStr">
        <is>
          <t>HIGH</t>
        </is>
      </c>
      <c r="J180" s="7" t="inlineStr">
        <is>
          <t>[สำหรับผู้สอน]
ภาพคำตอบกลับหัว 180 องศา เมื่อหมุนภาพให้อยู่ในแนวตั้งตรง พบว่านักเรียนวาดโครงสร้าง Binary Tree ผิดหลักการ Left-Child Right-Sibling (LCRS) อย่างสิ้นเชิง โดยให้นักเรียนต่อโหนด 1 ไปยัง 2 (ซ้าย) และ 3 (ขวา) ซึ่งผิดเพราะโหนด 1 ไม่มี sibling จึงต้องไม่มีกิ่งขวา (3 ต้องเป็น sibling/กิ่งขวาของ 2) รวมถึงการวางตำแหน่งลูกและพี่น้องอื่นๆ ไม่ถูกต้องตามหลักเกณฑ์ จึงได้ 0.00 คะแนนตาม rubric
[สำหรับนักเรียน]
คำตอบยังไม่ถูกต้องตามหลัก Left-Child Right-Sibling (LCRS) ครับ
ข้อควรปรับปรุงและทำความเข้าใจ:
1. กิ่งซ้าย (Left Child) แทน 'ลูกคนแรก (First Child)'
2. กิ่งขวา (Right Child) แทน 'พี่น้องลำดับถัดไป (Next Sibling)'
- โหนด 1 เป็นรากและไม่มีพี่น้อง ดังนั้นโหนด 1 จะมีเพียงกิ่งซ้ายคือ 2 เท่านั้น (ห้ามต่อ 3 ไปทางขวาของ 1)
- โหนด 3 และ 4 เป็นพี่น้องของ 2 ดังนั้น 3 ต้องเป็นกิ่งขวาของ 2 และ 4 เป็นกิ่งขวาของ 3 ครับ</t>
        </is>
      </c>
    </row>
    <row r="181" ht="74" customHeight="1">
      <c r="A181" s="6" t="inlineStr">
        <is>
          <t>DS-176</t>
        </is>
      </c>
      <c r="B181" s="6" t="n">
        <v>6</v>
      </c>
      <c r="C181" s="6" t="inlineStr">
        <is>
          <t>img</t>
        </is>
      </c>
      <c r="D181" s="8">
        <f>HYPERLINK("โจทphoto3/LINE_ALBUM_โจทphoto6_260918_1.jpg", "🔗 [เปิดรูปโจทย์] จงแปลง tree ต่อไปนี้ให้เป็น Binary Tree")</f>
        <v/>
      </c>
      <c r="E181" s="6" t="inlineStr">
        <is>
          <t>img</t>
        </is>
      </c>
      <c r="F181" s="8">
        <f>HYPERLINK("photo_clean_ชุดที่3/LINE_ALBUM_Photo2.2_260918_6.jpg","เปิดภาพคำตอบที่ลบคะแนนแล้ว")</f>
        <v/>
      </c>
      <c r="G181" s="6" t="n">
        <v>0</v>
      </c>
      <c r="H181" s="6" t="n">
        <v>0</v>
      </c>
      <c r="I181" s="6" t="inlineStr">
        <is>
          <t>HIGH</t>
        </is>
      </c>
      <c r="J181" s="7" t="inlineStr">
        <is>
          <t>[สำหรับผู้สอน]
ภาพคำตอบกลับหัว เมื่อหมุนกลับมาตรวจสอบพบว่านักเรียนวาดโครงสร้างผิดหลักการ Left-Child Right-Sibling (LCRS) อย่างมาก โดยเชื่อมโยงโหนด 1 ไปยัง 4 ทางกิ่งขวาโดยตรง (ทั้งที่ 1 ไม่มี sibling จึงต้องไม่มีกิ่งขวา) และเชื่อม 2 ไปยัง 3 ทางกิ่งซ้ายแทนที่จะเป็นกิ่งขวา นอกจากนี้การจัดวางโครงสร้างลูกและพี่น้องอื่น ๆ ก็ผิดเกณฑ์ทั้งหมด จึงได้ 0.00 คะแนน
[สำหรับนักเรียน]
โครงสร้างการแปลงเป็น Binary Tree ยังไม่ถูกต้องตามหลัก Left-Child Right-Sibling (LCRS) ครับ 
- โหนดซ้าย (Left Child) ต้องหมายถึง 'ลูกคนแรก (First Child)' เช่น ลูกของ 1 คือ 2 ดังนั้น 2 เป็นกิ่งซ้ายของ 1
- โหนดขวา (Right Child) ต้องหมายถึง 'พี่น้องถัดไป (Next Sibling)' เช่น โหนด 3 และ 4 เป็นพี่น้องของ 2 ดังนั้น 3 ต้องเป็นกิ่งขวาของ 2 และ 4 เป็นกิ่งขวาของ 3 ส่วนโหนด 1 ไม่มีพี่น้องจึงห้ามมีกิ่งขวา
ลองทบทวนความหมายของ Left-Child (ลูกคนแรก) และ Right-Sibling (พี่น้องถัดไปทางขวา) อีกครั้งนะครับ</t>
        </is>
      </c>
    </row>
    <row r="182" ht="74" customHeight="1">
      <c r="A182" s="6" t="inlineStr">
        <is>
          <t>DS-177</t>
        </is>
      </c>
      <c r="B182" s="6" t="n">
        <v>6</v>
      </c>
      <c r="C182" s="6" t="inlineStr">
        <is>
          <t>img</t>
        </is>
      </c>
      <c r="D182" s="8">
        <f>HYPERLINK("โจทphoto3/LINE_ALBUM_โจทphoto6_260918_1.jpg", "🔗 [เปิดรูปโจทย์] จงแปลง tree ต่อไปนี้ให้เป็น Binary Tree")</f>
        <v/>
      </c>
      <c r="E182" s="6" t="inlineStr">
        <is>
          <t>img</t>
        </is>
      </c>
      <c r="F182" s="8">
        <f>HYPERLINK("photo_clean_ชุดที่3/LINE_ALBUM_Photo2.2_260918_7.jpg","เปิดภาพคำตอบที่ลบคะแนนแล้ว")</f>
        <v/>
      </c>
      <c r="G182" s="6" t="n">
        <v>1</v>
      </c>
      <c r="H182" s="6" t="n">
        <v>1</v>
      </c>
      <c r="I182" s="6" t="inlineStr">
        <is>
          <t>HIGH</t>
        </is>
      </c>
      <c r="J182" s="7" t="inlineStr">
        <is>
          <t>[สำหรับผู้สอน]
ภาพคำตอบกลับหัว 180 องศา เมื่อปรับทิศทางภาพให้ถูกต้องแล้ว พบว่านักเรียนวาดโครงสร้าง Binary Tree ตามหลัก Left-Child Right-Sibling (LCRS) ได้ถูกต้องสมบูรณ์ครบทั้ง 10 โหนด: 1 มีลูกซ้ายเป็น 2; 2 มีลูกซ้ายเป็น 5 และพี่น้องขวาเป็น 3; 5 มีพี่น้องขวาเป็น 6 และ 6 มีพี่น้องขวาเป็น 7; 3 มีพี่น้องขวาเป็น 4; 4 มีลูกซ้ายเป็น 8; 8 มีพี่น้องขวาเป็น 9 และ 9 มีพี่น้องขวาเป็น 10 โดยทิศทางของกิ่งซ้าย-ขวาถูกต้องตรงตามเกณฑ์ทุกประการ
[สำหรับนักเรียน]
ยอดเยี่ยมมากครับ คุณแปลง General Tree เป็น Binary Tree ตามหลักการ Left-Child Right-Sibling ได้ถูกต้องสมบูรณ์ โหนดลูกคนแรก (Left-Child) และโหนดพี่น้องถัดไป (Right-Sibling) อยู่ในตำแหน่งและทิศทางที่ถูกต้องครบถ้วนทั้ง 10 โหนด</t>
        </is>
      </c>
    </row>
    <row r="183" ht="74" customHeight="1">
      <c r="A183" s="6" t="inlineStr">
        <is>
          <t>DS-178</t>
        </is>
      </c>
      <c r="B183" s="6" t="n">
        <v>6</v>
      </c>
      <c r="C183" s="6" t="inlineStr">
        <is>
          <t>img</t>
        </is>
      </c>
      <c r="D183" s="8">
        <f>HYPERLINK("โจทphoto3/LINE_ALBUM_โจทphoto6_260918_1.jpg", "🔗 [เปิดรูปโจทย์] จงแปลง tree ต่อไปนี้ให้เป็น Binary Tree")</f>
        <v/>
      </c>
      <c r="E183" s="6" t="inlineStr">
        <is>
          <t>img</t>
        </is>
      </c>
      <c r="F183" s="8">
        <f>HYPERLINK("photo_clean_ชุดที่3/LINE_ALBUM_Photo2.2_260918_8.jpg","เปิดภาพคำตอบที่ลบคะแนนแล้ว")</f>
        <v/>
      </c>
      <c r="G183" s="6" t="n">
        <v>1</v>
      </c>
      <c r="H183" s="6" t="n">
        <v>1</v>
      </c>
      <c r="I183" s="6" t="inlineStr">
        <is>
          <t>HIGH</t>
        </is>
      </c>
      <c r="J183" s="7" t="inlineStr">
        <is>
          <t>[สำหรับผู้สอน]
นักเรียนวาดโครงสร้าง Binary Tree ตามหลัก Left-Child Right-Sibling (LCRS) ได้ถูกต้องสมบูรณ์ครบทั้ง 10 โหนด: โดยมี 1 เป็น Root, โหนด 2 เป็นลูกซ้ายของ 1; โหนด 2 มีลูกซ้ายเป็น 5 และลูกขวา (sibling) เป็น 3; โหนด 5 มีลูกขวาเป็น 6 และ 6 มีลูกขวาเป็น 7; โหนด 3 มีลูกขวาเป็น 4; โหนด 4 มีลูกซ้ายเป็น 8; และโหนด 8 มีลูกขวาเป็น 9 ต่อด้วย 10 ถูกต้องตามเกณฑ์ rubric ทุกประการ ให้คะแนนเต็ม 1.00
[สำหรับนักเรียน]
ยอดเยี่ยมมากครับ แปลง General Tree เป็น Binary Tree ตามหลัก Left-Child Right-Sibling ได้ถูกต้องครบถ้วนสมบูรณ์ทุกโหนดและทิศทางของกิ่งถูกต้องชัดเจน</t>
        </is>
      </c>
    </row>
    <row r="184" ht="74" customHeight="1">
      <c r="A184" s="6" t="inlineStr">
        <is>
          <t>DS-179</t>
        </is>
      </c>
      <c r="B184" s="6" t="n">
        <v>6</v>
      </c>
      <c r="C184" s="6" t="inlineStr">
        <is>
          <t>img</t>
        </is>
      </c>
      <c r="D184" s="8">
        <f>HYPERLINK("โจทphoto3/LINE_ALBUM_โจทphoto6_260918_1.jpg", "🔗 [เปิดรูปโจทย์] จงแปลง tree ต่อไปนี้ให้เป็น Binary Tree")</f>
        <v/>
      </c>
      <c r="E184" s="6" t="inlineStr">
        <is>
          <t>img</t>
        </is>
      </c>
      <c r="F184" s="8">
        <f>HYPERLINK("photo_clean_ชุดที่3/LINE_ALBUM_Photo2.2_260918_9.jpg","เปิดภาพคำตอบที่ลบคะแนนแล้ว")</f>
        <v/>
      </c>
      <c r="G184" s="6" t="n">
        <v>1</v>
      </c>
      <c r="H184" s="6" t="n">
        <v>1</v>
      </c>
      <c r="I184" s="6" t="inlineStr">
        <is>
          <t>HIGH</t>
        </is>
      </c>
      <c r="J184" s="7" t="inlineStr">
        <is>
          <t>[สำหรับผู้สอน]
ภาพถ่ายหมุนเอียง 90 องศา เมื่อปรับให้อยู่ในแนวตั้งตรงแล้วพบว่านักเรียนแปลง General Tree เป็น Binary Tree ตามหลักการ Left-Child Right-Sibling (LCRS) ได้อย่างถูกต้องสมบูรณ์:
- โหนด 1 เป็น Root มีกิ่งซ้ายคือ 2 และไม่มีกิ่งขวา
- โหนด 2 มีกิ่งซ้ายคือ 5 และกิ่งขวาคือ 3
- โหนด 5 มีกิ่งขวาเป็น 6 และโหนด 6 มีกิ่งขวาเป็น 7
- โหนด 3 มีกิ่งขวาเป็น 4
- โหนด 4 มีกิ่งซ้ายเป็น 8
- โหนด 8 มีกิ่งขวาเป็น 9 และโหนด 9 มีกิ่งขวาเป็น 10
โครงสร้างและการเชื่อมโยงโหนดถูกต้องครบถ้วนตามเกณฑ์ จึงได้คะแนนเต็ม 1.00 คะแนน
[สำหรับนักเรียน]
ยอดเยี่ยมมากครับ คุณแปลง General Tree เป็น Binary Tree ด้วยระเบียบวิธี Left-Child Right-Sibling (LCRS) ได้ถูกต้องสมบูรณ์ ทั้งตำแหน่งลูกคนแรก (Left Child) และพี่น้องถัดไป (Right Sibling) ครบถ้วนทุกโหนด</t>
        </is>
      </c>
    </row>
    <row r="185" ht="74" customHeight="1">
      <c r="A185" s="6" t="inlineStr">
        <is>
          <t>DS-180</t>
        </is>
      </c>
      <c r="B185" s="6" t="n">
        <v>6</v>
      </c>
      <c r="C185" s="6" t="inlineStr">
        <is>
          <t>img</t>
        </is>
      </c>
      <c r="D185" s="8">
        <f>HYPERLINK("โจทphoto3/LINE_ALBUM_โจทphoto6_260918_1.jpg", "🔗 [เปิดรูปโจทย์] จงแปลง tree ต่อไปนี้ให้เป็น Binary Tree")</f>
        <v/>
      </c>
      <c r="E185" s="6" t="inlineStr">
        <is>
          <t>img</t>
        </is>
      </c>
      <c r="F185" s="8">
        <f>HYPERLINK("photo_clean_ชุดที่3/LINE_ALBUM_Photo2.2_260918_10.jpg","เปิดภาพคำตอบที่ลบคะแนนแล้ว")</f>
        <v/>
      </c>
      <c r="G185" s="6" t="n">
        <v>1</v>
      </c>
      <c r="H185" s="6" t="n">
        <v>1</v>
      </c>
      <c r="I185" s="6" t="inlineStr">
        <is>
          <t>HIGH</t>
        </is>
      </c>
      <c r="J185" s="7" t="inlineStr">
        <is>
          <t>[สำหรับผู้สอน]
นักเรียนแปลง General Tree เป็น Binary Tree ตามหลัก Left-Child Right-Sibling (LCRS) ได้ถูกต้องสมบูรณ์:
- โหนด 1 มี Left Child เป็น 2
- โหนด 2 มี Left Child เป็น 5 และ Right Child เป็น 3
- กิ่ง 5 แตกขวาไปยัง 6 และ 6 แตกขวาไปยัง 7
- โหนด 3 มี Right Child เป็น 4
- โหนด 4 มี Left Child เป็น 8
- กิ่ง 8 แตกขวาไปยัง 9 และ 9 แตกขวาไปยัง 10
ครบถ้วนถูกต้องทุกโหนดและทิศทาง จึงได้ 1.00 คะแนนเต็มตามเกณฑ์
[สำหรับนักเรียน]
ยอดเยี่ยมมากครับ! คุณแปลง General Tree เป็น Binary Tree โดยใช้หลักการ Left-Child Right-Sibling (ลูกคนแรกเป็นกิ่งซ้าย พี่น้องถัดไปเป็นกิ่งขวา) ได้ถูกต้องสมบูรณ์ครบถ้วนทุกโหนด ทั้งโครงสร้างและทิศทางของกิ่งซ้าย-ขวาถูกต้องชัดเจนครับ</t>
        </is>
      </c>
    </row>
    <row r="186" ht="74" customHeight="1">
      <c r="A186" s="6" t="inlineStr">
        <is>
          <t>DS-181</t>
        </is>
      </c>
      <c r="B186" s="6" t="n">
        <v>6</v>
      </c>
      <c r="C186" s="6" t="inlineStr">
        <is>
          <t>img</t>
        </is>
      </c>
      <c r="D186" s="8">
        <f>HYPERLINK("โจทphoto3/LINE_ALBUM_โจทphoto6_260918_1.jpg", "🔗 [เปิดรูปโจทย์] จงแปลง tree ต่อไปนี้ให้เป็น Binary Tree")</f>
        <v/>
      </c>
      <c r="E186" s="6" t="inlineStr">
        <is>
          <t>img</t>
        </is>
      </c>
      <c r="F186" s="8">
        <f>HYPERLINK("photo_clean_ชุดที่3/LINE_ALBUM_Photo2.2_260918_11.jpg","เปิดภาพคำตอบที่ลบคะแนนแล้ว")</f>
        <v/>
      </c>
      <c r="G186" s="6" t="n">
        <v>1</v>
      </c>
      <c r="H186" s="6" t="n">
        <v>1</v>
      </c>
      <c r="I186" s="6" t="inlineStr">
        <is>
          <t>HIGH</t>
        </is>
      </c>
      <c r="J186" s="7" t="inlineStr">
        <is>
          <t>[สำหรับผู้สอน]
นักเรียนแปลง General Tree เป็น Binary Tree ตามหลัก Left-Child Right-Sibling (LCRS) ได้อย่างถูกต้องสมบูรณ์ครบทั้ง 10 โหนด:
- 1 มีลูกซ้ายเป็น 2
- 2 มีลูกซ้ายเป็น 5 และมีพี่น้องขวาเป็น 3
- 5 มีพี่น้องขวาเป็น 6 และ 6 มีพี่น้องขวาเป็น 7
- 3 มีพี่น้องขวาเป็น 4
- 4 มีลูกซ้ายเป็น 8
- 8 มีพี่น้องขวาเป็น 9 และ 9 มีพี่น้องขวาเป็น 10
ตรงตามเกณฑ์และเฉลยทุกประการ ให้คะแนนเต็ม 1.00
[สำหรับนักเรียน]
ยอดเยี่ยมมากครับ การแปลง General Tree เป็น Binary Tree ด้วยวิธี Left-Child Right-Sibling ทำได้ถูกต้องและสมบูรณ์แบบ ทั้งการเชื่อมโยงลูกคนแรก (Left Child) และพี่น้องถัดไป (Right Sibling) ชัดเจนและถูกต้องครบถ้วน</t>
        </is>
      </c>
    </row>
    <row r="187" ht="74" customHeight="1">
      <c r="A187" s="6" t="inlineStr">
        <is>
          <t>DS-182</t>
        </is>
      </c>
      <c r="B187" s="6" t="n">
        <v>6</v>
      </c>
      <c r="C187" s="6" t="inlineStr">
        <is>
          <t>img</t>
        </is>
      </c>
      <c r="D187" s="8">
        <f>HYPERLINK("โจทphoto3/LINE_ALBUM_โจทphoto6_260918_1.jpg", "🔗 [เปิดรูปโจทย์] จงแปลง tree ต่อไปนี้ให้เป็น Binary Tree")</f>
        <v/>
      </c>
      <c r="E187" s="6" t="inlineStr">
        <is>
          <t>img</t>
        </is>
      </c>
      <c r="F187" s="8">
        <f>HYPERLINK("photo_clean_ชุดที่3/LINE_ALBUM_Photo2.2_260918_12.jpg","เปิดภาพคำตอบที่ลบคะแนนแล้ว")</f>
        <v/>
      </c>
      <c r="G187" s="6" t="n">
        <v>0</v>
      </c>
      <c r="H187" s="6" t="n">
        <v>0</v>
      </c>
      <c r="I187" s="6" t="inlineStr">
        <is>
          <t>HIGH</t>
        </is>
      </c>
      <c r="J187" s="7" t="inlineStr">
        <is>
          <t>[สำหรับผู้สอน]
นักเรียนวาดโครงสร้างผิดหลักการ Left-Child Right-Sibling (LCRS) โดยนำโหนด 3 ไปต่อเป็นกิ่งขวาของโหนด 1 โดยตรง ทั้งที่โหนด 1 เป็น Root ที่ไม่มีพี่น้อง (Sibling) จึงต้องไม่มีกิ่งขวา ส่วนโหนด 3 ซึ่งเป็นพี่น้องของโหนด 2 จะต้องต่อเป็นกิ่งขวาของโหนด 2 ตามเกณฑ์ที่ระบุไว้ชัดเจนว่าหากวางโหนด 3 เป็นกิ่งขวาของโหนด 1 โดยตรง จะได้ 0.00 คะแนน
[สำหรับนักเรียน]
คำตอบยังไม่ถูกต้องตามหลัก Left-Child Right-Sibling (LCRS) ครับ จุดผิดพลาดสำคัญคือการนำโหนด 3 ไปต่อเป็นกิ่งขวาของโหนด 1 (โหนดรากไม่มีพี่น้อง จึงไม่สามารถมีกิ่งขวาได้) โดยหลักการแล้ว โหนด 3 และ 4 เป็นพี่น้อง (Sibling) ของโหนด 2 ดังนั้น โหนด 3 ต้องต่อเป็นกิ่งขวาของโหนด 2 และโหนด 4 ต้องต่อเป็นกิ่งขวาของโหนด 3 ครับ</t>
        </is>
      </c>
    </row>
    <row r="188" ht="74" customHeight="1">
      <c r="A188" s="6" t="inlineStr">
        <is>
          <t>DS-183</t>
        </is>
      </c>
      <c r="B188" s="6" t="n">
        <v>6</v>
      </c>
      <c r="C188" s="6" t="inlineStr">
        <is>
          <t>img</t>
        </is>
      </c>
      <c r="D188" s="8">
        <f>HYPERLINK("โจทphoto3/LINE_ALBUM_โจทphoto6_260918_1.jpg", "🔗 [เปิดรูปโจทย์] จงแปลง tree ต่อไปนี้ให้เป็น Binary Tree")</f>
        <v/>
      </c>
      <c r="E188" s="6" t="inlineStr">
        <is>
          <t>img</t>
        </is>
      </c>
      <c r="F188" s="8">
        <f>HYPERLINK("photo_clean_ชุดที่3/LINE_ALBUM_Photo2.2_260918_13.jpg","เปิดภาพคำตอบที่ลบคะแนนแล้ว")</f>
        <v/>
      </c>
      <c r="G188" s="6" t="n">
        <v>0</v>
      </c>
      <c r="H188" s="6" t="n">
        <v>0</v>
      </c>
      <c r="I188" s="6" t="inlineStr">
        <is>
          <t>HIGH</t>
        </is>
      </c>
      <c r="J188" s="7" t="inlineStr">
        <is>
          <t>[สำหรับผู้สอน]
นักเรียนวาดโครงสร้างผิดหลักการ Left-Child Right-Sibling (LCRS) โดยเชื่อมโยงโหนด 3 เป็นกิ่งขวาของโหนด 1 โดยตรง (1 มีกิ่งซ้ายไป 2 และมีกิ่งขวาไป 3) ซึ่งตามหลักการ LCRS โหนดราก (Root 1) ไม่มี sibling ดังนั้นกิ่งขวาของ 1 ต้องว่าง ส่วนโหนด 3 ซึ่งเป็น sibling ของ 2 จะต้องเป็นกิ่งขวาของ 2 นอกจากนี้ที่โหนด 4 นักเรียนวาด 8 และ 9 แยกเป็นกิ่งซ้ายและกิ่งขวาของ 4 โดยตรง ซึ่งไม่ถูกต้องตามหลัก LCRS (8 ต้องเป็นกิ่งซ้ายของ 4 และ 9 ต้องเป็นกิ่งขวาของ 8) จึงได้คะแนน 0.00 ตามเกณฑ์
[สำหรับนักเรียน]
คำตอบยังไม่ถูกต้องตามหลัก Left-Child Right-Sibling (LCRS) ครับ มีจุดที่ต้องแก้ไขดังนี้:
1. โหนดราก (1) ไม่มีพี่น้อง (sibling) ดังนั้นจึงไม่สามารถมีกิ่งขวาได้ โหนด 3 ซึ่งเป็นพี่น้องของ 2 จะต้องนำไปต่อเป็นกิ่งขวาของโหนด 2 แทน
2. ที่ใต้โหนด 4 ลูกคนแรกคือ 8 (กิ่งซ้ายของ 4) ส่วน 9 และ 10 เป็นพี่น้องของ 8 จะต้องต่อเป็นกิ่งขวาเรียงกันลงไป (8 -&gt; ขวาไป 9 -&gt; ขวาไป 10) ไม่สามารถแตกกิ่งซ้ายและขวาออกจาก 4 พร้อมกันได้ครับ</t>
        </is>
      </c>
    </row>
    <row r="189" ht="74" customHeight="1">
      <c r="A189" s="6" t="inlineStr">
        <is>
          <t>DS-184</t>
        </is>
      </c>
      <c r="B189" s="6" t="n">
        <v>6</v>
      </c>
      <c r="C189" s="6" t="inlineStr">
        <is>
          <t>img</t>
        </is>
      </c>
      <c r="D189" s="8">
        <f>HYPERLINK("โจทphoto3/LINE_ALBUM_โจทphoto6_260918_1.jpg", "🔗 [เปิดรูปโจทย์] จงแปลง tree ต่อไปนี้ให้เป็น Binary Tree")</f>
        <v/>
      </c>
      <c r="E189" s="6" t="inlineStr">
        <is>
          <t>img</t>
        </is>
      </c>
      <c r="F189" s="8">
        <f>HYPERLINK("photo_clean_ชุดที่3/LINE_ALBUM_Photo2.2_260918_14.jpg","เปิดภาพคำตอบที่ลบคะแนนแล้ว")</f>
        <v/>
      </c>
      <c r="G189" s="6" t="n">
        <v>0</v>
      </c>
      <c r="H189" s="6" t="n">
        <v>0</v>
      </c>
      <c r="I189" s="6" t="inlineStr">
        <is>
          <t>HIGH</t>
        </is>
      </c>
      <c r="J189" s="7" t="inlineStr">
        <is>
          <t>[สำหรับผู้สอน]
นักเรียนแปลงโครงสร้างไม่ถูกต้องตามหลัก Left-Child Right-Sibling (LCRS) โดยนำโหนด 3 ไปต่อเป็นกิ่งขวาของโหนด 1 โดยตรง (โหนด 1 เป็น Root ไม่มี sibling จึงต้องไม่มีกิ่งขวา และโหนด 3 เป็น sibling ของ 2 จึงต้องต่อเป็นกิ่งขวาของ 2) นอกจากนี้ยังนำโหนด 9 ไปต่อเป็นกิ่งขวาของโหนด 4 ซึ่งผิดหลักการเช่นกัน (โหนด 4 มีลูกคนแรกคือ 8 และ 9 ต้องเป็น sibling ต่อจากกิ่งขวาของ 8) ตามเกณฑ์ rubric จึงได้ 0.00 คะแนน
[สำหรับนักเรียน]
การแปลง General Tree เป็น Binary Tree ตามหลัก Left-Child Right-Sibling (LCRS) มีข้อผิดพลาดในจุดสำคัญดังนี้ครับ:
1. กิ่งซ้ายคือลูกคนแรก (First Child) และกิ่งขวาคือพี่น้องคนถัดไป (Next Sibling)
2. โหนด 1 เป็นราก (Root) และไม่มีพี่น้อง ดังนั้นโหนด 1 จึงต้องไม่มีกิ่งขวา โหนด 2, 3, 4 เป็นพี่น้องกัน โหนด 3 ต้องไปต่อเป็นกิ่งขวาของโหนด 2 และโหนด 4 ต่อเป็นกิ่งขวาของโหนด 3
3. สำหรับลูกของโหนด 4 (ได้แก่ 8, 9, 10): โหนด 8 เป็นลูกคนแรก จึงเป็นกิ่งซ้ายของ 4 จากนั้น 9 และ 10 เป็นพี่น้องถัดไป จึงต้องต่อเป็นกิ่งขวาเรียงกันลงไป (8 -&gt; ขวาไป 9 -&gt; ขวาไป 10) ไม่นำ 9 มาต่อที่กิ่งขวาของ 4 ครับ</t>
        </is>
      </c>
    </row>
    <row r="190" ht="74" customHeight="1">
      <c r="A190" s="6" t="inlineStr">
        <is>
          <t>DS-185</t>
        </is>
      </c>
      <c r="B190" s="6" t="n">
        <v>6</v>
      </c>
      <c r="C190" s="6" t="inlineStr">
        <is>
          <t>img</t>
        </is>
      </c>
      <c r="D190" s="8">
        <f>HYPERLINK("โจทphoto3/LINE_ALBUM_โจทphoto6_260918_1.jpg", "🔗 [เปิดรูปโจทย์] จงแปลง tree ต่อไปนี้ให้เป็น Binary Tree")</f>
        <v/>
      </c>
      <c r="E190" s="6" t="inlineStr">
        <is>
          <t>img</t>
        </is>
      </c>
      <c r="F190" s="8">
        <f>HYPERLINK("photo_clean_ชุดที่3/LINE_ALBUM_Photo2.2_260918_15.jpg","เปิดภาพคำตอบที่ลบคะแนนแล้ว")</f>
        <v/>
      </c>
      <c r="G190" s="6" t="n">
        <v>1</v>
      </c>
      <c r="H190" s="6" t="n">
        <v>1</v>
      </c>
      <c r="I190" s="6" t="inlineStr">
        <is>
          <t>HIGH</t>
        </is>
      </c>
      <c r="J190" s="7" t="inlineStr">
        <is>
          <t>[สำหรับผู้สอน]
นักเรียนวาดโครงสร้าง Binary Tree จาก General Tree ตามหลักการ Left-Child Right-Sibling (LCRS) ได้อย่างถูกต้องสมบูรณ์ครบถ้วนทุกโหนด:
- 1 มีลูกซ้ายเป็น 2
- 2 มีลูกซ้ายเป็น 5 และมีพี่น้องขวาเป็น 3
- ใต้ 5 มีพี่น้องทางขวาเป็น 6 และ 7 ตามลำดับ
- 3 มีพี่น้องทางขวาเป็น 4
- 4 มีลูกซ้ายเป็น 8
- ใต้ 8 มีพี่น้องทางขวาเป็น 9 และ 10 ตามลำดับ
โครงสร้างถูกต้องตามเกณฑ์ทุกประการ จึงได้คะแนนเต็ม 1.00
[สำหรับนักเรียน]
ยอดเยี่ยมมากครับ คุณแปลง General Tree เป็น Binary Tree ตามหลักการ Left-Child Right-Sibling (LCRS) ได้อย่างถูกต้องสมบูรณ์ ทั้งการกำหนดลูกคนแรกไว้ทางซ้าย และการเชื่อมโยงพี่น้องลำดับถัดไปไว้ทางขวาครบทุกโหนด</t>
        </is>
      </c>
    </row>
    <row r="191" ht="74" customHeight="1">
      <c r="A191" s="6" t="inlineStr">
        <is>
          <t>DS-186</t>
        </is>
      </c>
      <c r="B191" s="6" t="n">
        <v>6</v>
      </c>
      <c r="C191" s="6" t="inlineStr">
        <is>
          <t>img</t>
        </is>
      </c>
      <c r="D191" s="8">
        <f>HYPERLINK("โจทphoto3/LINE_ALBUM_โจทphoto6_260918_1.jpg", "🔗 [เปิดรูปโจทย์] จงแปลง tree ต่อไปนี้ให้เป็น Binary Tree")</f>
        <v/>
      </c>
      <c r="E191" s="6" t="inlineStr">
        <is>
          <t>img</t>
        </is>
      </c>
      <c r="F191" s="8">
        <f>HYPERLINK("photo_clean_ชุดที่3/LINE_ALBUM_Photo2.2_260918_16.jpg","เปิดภาพคำตอบที่ลบคะแนนแล้ว")</f>
        <v/>
      </c>
      <c r="G191" s="6" t="n">
        <v>0</v>
      </c>
      <c r="H191" s="6" t="n">
        <v>0</v>
      </c>
      <c r="I191" s="6" t="inlineStr">
        <is>
          <t>HIGH</t>
        </is>
      </c>
      <c r="J191" s="7" t="inlineStr">
        <is>
          <t>[สำหรับผู้สอน]
นักเรียนแปลงโครงสร้างผิดตามหลัก Left-Child Right-Sibling (LCRS) โดยนำโหนด 3 ไปต่อเป็นกิ่งขวาของโหนด 1 โดยตรง ทั้งที่โหนด 1 เป็น Root ที่ไม่มีพี่น้อง (Sibling) จึงไม่สามารถมีกิ่งขวาได้ และโหนด 3 กับ 4 ซึ่งเป็นพี่น้องของโหนด 2 จะต้องเป็นกิ่งขวาของโหนด 2 ต่อเนื่องกันไป นอกจากนี้ โหนด 8 ยังถูกนำไปต่อเป็นกิ่งขวาของ 4 แทนที่จะเป็นกิ่งซ้าย (Left Child) ตามเกณฑ์ที่ระบุไว้ว่าการวางโหนด 3 เป็นกิ่งขวาของ 1 โดยตรง จะได้ 0.00 คะแนน
[สำหรับนักเรียน]
คำตอบยังไม่ถูกต้องตามหลัก Left-Child Right-Sibling (LCRS) ครับ 
จุดที่ต้องระวัง:
1. กิ่งซ้าย (Left Child) ใช้เชื่อมไปยัง 'ลูกคนแรก' และกิ่งขวา (Right Child) ใช้เชื่อมไปยัง 'พี่น้องถัดไป (Next Sibling)'
2. โหนด 1 เป็นราก (Root) และไม่มีพี่น้อง ดังนั้นโหนด 1 จะมีเฉพาะกิ่งซ้าย (คือ 2) และต้องไม่มีกิ่งขวา
3. โหนด 3 และ 4 เป็นพี่น้องของโหนด 2 ดังนั้นโหนด 3 ต้องเป็นกิ่งขวาของ 2 และโหนด 4 เป็นกิ่งขวาของ 3
4. โหนด 8 เป็นลูกคนแรกของ 4 จึงต้องต่อเป็นกิ่งซ้ายของ 4 ครับ</t>
        </is>
      </c>
    </row>
    <row r="192" ht="74" customHeight="1">
      <c r="A192" s="6" t="inlineStr">
        <is>
          <t>DS-187</t>
        </is>
      </c>
      <c r="B192" s="6" t="n">
        <v>6</v>
      </c>
      <c r="C192" s="6" t="inlineStr">
        <is>
          <t>img</t>
        </is>
      </c>
      <c r="D192" s="8">
        <f>HYPERLINK("โจทphoto3/LINE_ALBUM_โจทphoto6_260918_1.jpg", "🔗 [เปิดรูปโจทย์] จงแปลง tree ต่อไปนี้ให้เป็น Binary Tree")</f>
        <v/>
      </c>
      <c r="E192" s="6" t="inlineStr">
        <is>
          <t>img</t>
        </is>
      </c>
      <c r="F192" s="8">
        <f>HYPERLINK("photo_clean_ชุดที่3/LINE_ALBUM_Photo2.2_260918_17.jpg","เปิดภาพคำตอบที่ลบคะแนนแล้ว")</f>
        <v/>
      </c>
      <c r="G192" s="6" t="n">
        <v>1</v>
      </c>
      <c r="H192" s="6" t="n">
        <v>1</v>
      </c>
      <c r="I192" s="6" t="inlineStr">
        <is>
          <t>HIGH</t>
        </is>
      </c>
      <c r="J192" s="7" t="inlineStr">
        <is>
          <t>[สำหรับผู้สอน]
ภาพถ่ายวางกลับหัว (180 องศา) เมื่อหมุนภาพให้อยู่ในทิศทางที่ถูกต้อง พบว่าผู้เรียนวาดโครงสร้าง Binary Tree ตามหลัก Left-Child Right-Sibling (LCRS) ได้อย่างถูกต้องสมบูรณ์: โหนด 1 มีลูกซ้ายเป็น 2; โหนด 2 มีลูกซ้ายเป็น 5 และลูกขวา (sibling) เป็น 3; ใต้โหนด 5 แตกกิ่งขวาไป 6 และ 7 ตามลำดับ; โหนด 3 มีกิ่งขวาเป็น 4; โหนด 4 มีลูกซ้ายเป็น 8; ใต้โหนด 8 แตกกิ่งขวาไป 9 และ 10 ตามลำดับ มีรอยลบ/ร่างเดิมแต่เส้นคำตอบสุดท้ายชัดเจนและถูกต้องตามเกณฑ์ทุกประการ
[สำหรับนักเรียน]
คำตอบถูกต้องสมบูรณ์ครับ คุณแปลง General Tree เป็น Binary Tree ตามหลักการ Left-Child Right-Sibling (ลูกคนแรกเป็นกิ่งซ้าย พี่น้องถัดไปเป็นกิ่งขวา) ได้ถูกต้องครบถ้วนทุกโหนด ทั้งความสัมพันธ์ระหว่างกิ่งและทิศทางของโครงสร้างต้นไม้</t>
        </is>
      </c>
    </row>
    <row r="193" ht="74" customHeight="1">
      <c r="A193" s="6" t="inlineStr">
        <is>
          <t>DS-188</t>
        </is>
      </c>
      <c r="B193" s="6" t="n">
        <v>6</v>
      </c>
      <c r="C193" s="6" t="inlineStr">
        <is>
          <t>img</t>
        </is>
      </c>
      <c r="D193" s="8">
        <f>HYPERLINK("โจทphoto3/LINE_ALBUM_โจทphoto6_260918_1.jpg", "🔗 [เปิดรูปโจทย์] จงแปลง tree ต่อไปนี้ให้เป็น Binary Tree")</f>
        <v/>
      </c>
      <c r="E193" s="6" t="inlineStr">
        <is>
          <t>img</t>
        </is>
      </c>
      <c r="F193" s="8">
        <f>HYPERLINK("photo_clean_ชุดที่3/LINE_ALBUM_Photo2.2_260918_18.jpg","เปิดภาพคำตอบที่ลบคะแนนแล้ว")</f>
        <v/>
      </c>
      <c r="G193" s="6" t="n">
        <v>1</v>
      </c>
      <c r="H193" s="6" t="n">
        <v>1</v>
      </c>
      <c r="I193" s="6" t="inlineStr">
        <is>
          <t>HIGH</t>
        </is>
      </c>
      <c r="J193" s="7" t="inlineStr">
        <is>
          <t>[สำหรับผู้สอน]
นักเรียนวาดโครงสร้าง Binary Tree จาก General Tree ตามหลัก Left-Child Right-Sibling (LCRS) ได้ถูกต้องสมบูรณ์ครบทั้ง 10 โหนด: 1 มี left child เป็น 2; 2 มี left child เป็น 5 และ right child เป็น 3; 5 มี right child เป็น 6 และ 6 มี right child เป็น 7; 3 มี right child เป็น 4; 4 มี left child เป็น 8; 8 มี right child เป็น 9 และ 9 มี right child เป็น 10 ตามเกณฑ์ที่อนุโลมทิศทางและมุมเอียงของกิ่งครบถ้วน ได้คะแนนเต็ม 1.00
[สำหรับนักเรียน]
ยอดเยี่ยมมากครับ แปลง General Tree เป็น Binary Tree ตามหลักการ Left-Child Right-Sibling ได้ถูกต้องครบถ้วนสมบูรณ์ทุกโหนดและทุกความสัมพันธ์</t>
        </is>
      </c>
    </row>
    <row r="194" ht="74" customHeight="1">
      <c r="A194" s="6" t="inlineStr">
        <is>
          <t>DS-189</t>
        </is>
      </c>
      <c r="B194" s="6" t="n">
        <v>6</v>
      </c>
      <c r="C194" s="6" t="inlineStr">
        <is>
          <t>img</t>
        </is>
      </c>
      <c r="D194" s="8">
        <f>HYPERLINK("โจทphoto3/LINE_ALBUM_โจทphoto6_260918_1.jpg", "🔗 [เปิดรูปโจทย์] จงแปลง tree ต่อไปนี้ให้เป็น Binary Tree")</f>
        <v/>
      </c>
      <c r="E194" s="6" t="inlineStr">
        <is>
          <t>img</t>
        </is>
      </c>
      <c r="F194" s="8">
        <f>HYPERLINK("photo_clean_ชุดที่3/LINE_ALBUM_Photo2.2_260918_19.jpg","เปิดภาพคำตอบที่ลบคะแนนแล้ว")</f>
        <v/>
      </c>
      <c r="G194" s="6" t="n">
        <v>1</v>
      </c>
      <c r="H194" s="6" t="n">
        <v>1</v>
      </c>
      <c r="I194" s="6" t="inlineStr">
        <is>
          <t>HIGH</t>
        </is>
      </c>
      <c r="J194" s="7" t="inlineStr">
        <is>
          <t>[สำหรับผู้สอน]
นักเรียนแปลง General Tree เป็น Binary Tree ตามระเบียบวิธี Left-Child Right-Sibling (LCRS) ได้ถูกต้องสมบูรณ์ครบทั้ง 10 โหนด: โดยมี 1 เป็น Root มีลูกซ้ายเป็น 2, โหนด 2 มีลูกซ้ายเป็น 5 และพี่น้องขวาเป็น 3, โหนด 5 มีลูกพี่น้องขวาต่อเป็น 6 และ 7 ตามลำดับ, โหนด 3 มีพี่น้องขวาเป็น 4, โหนด 4 มีลูกซ้ายเป็น 8, และโหนด 8 มีพี่น้องขวาต่อเป็น 9 และ 10 ตามลำดับ เส้นเชื่อมและการวางตำแหน่งแสดงทิศทางซ้าย-ขวาถูกต้องตรงตาม rubric จึงได้คะแนนเต็ม 1.00
[สำหรับนักเรียน]
ยอดเยี่ยมมากครับ คุณแปลง General Tree เป็น Binary Tree ตามหลักการ Left-Child Right-Sibling (LCRS) ได้อย่างถูกต้องสมบูรณ์ครบถ้วนทุกโหนดและทุกทิศทางกิ่ง</t>
        </is>
      </c>
    </row>
    <row r="195" ht="74" customHeight="1">
      <c r="A195" s="6" t="inlineStr">
        <is>
          <t>DS-190</t>
        </is>
      </c>
      <c r="B195" s="6" t="n">
        <v>6</v>
      </c>
      <c r="C195" s="6" t="inlineStr">
        <is>
          <t>img</t>
        </is>
      </c>
      <c r="D195" s="8">
        <f>HYPERLINK("โจทphoto3/LINE_ALBUM_โจทphoto6_260918_1.jpg", "🔗 [เปิดรูปโจทย์] จงแปลง tree ต่อไปนี้ให้เป็น Binary Tree")</f>
        <v/>
      </c>
      <c r="E195" s="6" t="inlineStr">
        <is>
          <t>img</t>
        </is>
      </c>
      <c r="F195" s="8">
        <f>HYPERLINK("photo_clean_ชุดที่3/LINE_ALBUM_Photo2.2_260918_20.jpg","เปิดภาพคำตอบที่ลบคะแนนแล้ว")</f>
        <v/>
      </c>
      <c r="G195" s="6" t="n">
        <v>0</v>
      </c>
      <c r="H195" s="6" t="n">
        <v>0</v>
      </c>
      <c r="I195" s="6" t="inlineStr">
        <is>
          <t>HIGH</t>
        </is>
      </c>
      <c r="J195" s="7" t="inlineStr">
        <is>
          <t>[สำหรับผู้สอน]
นักเรียนวาดโครงสร้างผิดหลัก Left-Child Right-Sibling (LCRS) โดยนำโหนด 3 ไปต่อเป็นกิ่งขวาของโหนด 1 โดยตรง ทั้งที่โหนด 1 เป็น Root ที่ไม่มี sibling ดังนั้นกิ่งขวาของ 1 ต้องว่าง และโหนด 3 เป็น sibling ของโหนด 2 จึงต้องต่อเป็นกิ่งขวาของโหนด 2 ตามเกณฑ์ที่ระบุไว้ชัดเจนว่า หากวางโหนด 3 เป็นกิ่งขวาของโหนด 1 โดยตรง จะได้ 0.00 คะแนน
[สำหรับนักเรียน]
ยังมีจุดผิดพลาดสำคัญในหลักการ Left-Child Right-Sibling (LCRS) ครับ: กิ่งขวาของแต่ละโหนดจะชี้ไปยัง 'พี่น้องถัดไป (Next Sibling)' แต่โหนด 1 เป็น Root ของต้นไม้ จึงไม่มีพี่น้อง ทำให้กิ่งขวาของโหนด 1 ต้องว่างไว้ ส่วนโหนด 3 เป็นพี่น้องของโหนด 2 จึงต้องนำโหนด 3 ไปต่อเป็นกิ่งขวาของโหนด 2 ครับ โครงสร้างส่วนอื่นเช่นการต่อ 5-6-7 และ 4-8-9-10 ทำได้ดีแล้ว ขอให้ทบทวนความสัมพันธ์ของโหนดลูกระดับแรกครับ</t>
        </is>
      </c>
    </row>
    <row r="196" ht="74" customHeight="1">
      <c r="A196" s="6" t="inlineStr">
        <is>
          <t>DS-191</t>
        </is>
      </c>
      <c r="B196" s="6" t="n">
        <v>6</v>
      </c>
      <c r="C196" s="6" t="inlineStr">
        <is>
          <t>img</t>
        </is>
      </c>
      <c r="D196" s="8">
        <f>HYPERLINK("โจทphoto3/LINE_ALBUM_โจทphoto6_260918_1.jpg", "🔗 [เปิดรูปโจทย์] จงแปลง tree ต่อไปนี้ให้เป็น Binary Tree")</f>
        <v/>
      </c>
      <c r="E196" s="6" t="inlineStr">
        <is>
          <t>img</t>
        </is>
      </c>
      <c r="F196" s="8">
        <f>HYPERLINK("photo_clean_ชุดที่3/LINE_ALBUM_Photo2.2_260918_21.jpg","เปิดภาพคำตอบที่ลบคะแนนแล้ว")</f>
        <v/>
      </c>
      <c r="G196" s="6" t="n">
        <v>1</v>
      </c>
      <c r="H196" s="6" t="n">
        <v>1</v>
      </c>
      <c r="I196" s="6" t="inlineStr">
        <is>
          <t>HIGH</t>
        </is>
      </c>
      <c r="J196" s="7" t="inlineStr">
        <is>
          <t>[สำหรับผู้สอน]
นักเรียนแปลง General Tree เป็น Binary Tree ตามหลัก Left-Child Right-Sibling (LCRS) ได้ถูกต้องสมบูรณ์ครบทั้ง 10 โหนด: 1 มีกิ่งซ้ายเป็น 2; 2 มีกิ่งซ้ายเป็น 5 และกิ่งขวาเป็น 3; 5 มีกิ่งขวาเป็น 6 -&gt; 7; 3 มีกิ่งขวาเป็น 4; 4 มีกิ่งซ้ายเป็น 8; 8 มีกิ่งขวาเป็น 9 -&gt; 10 โครงสร้างและทิศทางของกิ่งถูกต้องตามเกณฑ์ทุกประการ
[สำหรับนักเรียน]
ทำได้ยอดเยี่ยมมากครับ! โครงสร้างต้นไม้ที่แปลงเป็น Binary Tree ตามหลัก Left-Child Right-Sibling ถูกต้องครบถ้วนทุกโหนด ทั้งตำแหน่งโหนดลูกคนแรก (Left Child) และโหนดพี่น้องถัดไป (Right Sibling)</t>
        </is>
      </c>
    </row>
    <row r="197" ht="74" customHeight="1">
      <c r="A197" s="6" t="inlineStr">
        <is>
          <t>DS-192</t>
        </is>
      </c>
      <c r="B197" s="6" t="n">
        <v>6</v>
      </c>
      <c r="C197" s="6" t="inlineStr">
        <is>
          <t>img</t>
        </is>
      </c>
      <c r="D197" s="8">
        <f>HYPERLINK("โจทphoto3/LINE_ALBUM_โจทphoto6_260918_1.jpg", "🔗 [เปิดรูปโจทย์] จงแปลง tree ต่อไปนี้ให้เป็น Binary Tree")</f>
        <v/>
      </c>
      <c r="E197" s="6" t="inlineStr">
        <is>
          <t>img</t>
        </is>
      </c>
      <c r="F197" s="8">
        <f>HYPERLINK("photo_clean_ชุดที่3/LINE_ALBUM_Photo2.2_260918_22.jpg","เปิดภาพคำตอบที่ลบคะแนนแล้ว")</f>
        <v/>
      </c>
      <c r="G197" s="6" t="n">
        <v>1</v>
      </c>
      <c r="H197" s="6" t="n">
        <v>1</v>
      </c>
      <c r="I197" s="6" t="inlineStr">
        <is>
          <t>HIGH</t>
        </is>
      </c>
      <c r="J197" s="7" t="inlineStr">
        <is>
          <t>[สำหรับผู้สอน]
นักเรียนแปลงโครงสร้าง General Tree เป็น Binary Tree ตามหลัก Left-Child Right-Sibling (LCRS) ได้อย่างถูกต้องสมบูรณ์ครบทั้ง 10 โหนด โดย 1 มีลูกซ้ายเป็น 2, โหนด 2 มีลูกซ้ายเป็น 5 และมี sibling ทางขวาเป็น 3, โหนด 5 มี sibling ขวาเรียงกันคือ 6 และ 7, โหนด 3 มี sibling ขวาเป็น 4, โหนด 4 มีลูกซ้ายเป็น 8, และโหนด 8 มี sibling ขวาเรียงกันคือ 9 และ 10 ตรงตามเกณฑ์ทุกประการ
[สำหรับนักเรียน]
ยอดเยี่ยมมากครับ คุณแปลง General Tree เป็น Binary Tree ตามหลัก Left-Child Right-Sibling ได้ถูกต้องและครบถ้วนสมบูรณ์ทุกตำแหน่ง</t>
        </is>
      </c>
    </row>
    <row r="198" ht="74" customHeight="1">
      <c r="A198" s="6" t="inlineStr">
        <is>
          <t>DS-193</t>
        </is>
      </c>
      <c r="B198" s="6" t="n">
        <v>6</v>
      </c>
      <c r="C198" s="6" t="inlineStr">
        <is>
          <t>img</t>
        </is>
      </c>
      <c r="D198" s="8">
        <f>HYPERLINK("โจทphoto3/LINE_ALBUM_โจทphoto6_260918_1.jpg", "🔗 [เปิดรูปโจทย์] จงแปลง tree ต่อไปนี้ให้เป็น Binary Tree")</f>
        <v/>
      </c>
      <c r="E198" s="6" t="inlineStr">
        <is>
          <t>img</t>
        </is>
      </c>
      <c r="F198" s="8">
        <f>HYPERLINK("photo_clean_ชุดที่3/LINE_ALBUM_Photo2.2_260918_23.jpg","เปิดภาพคำตอบที่ลบคะแนนแล้ว")</f>
        <v/>
      </c>
      <c r="G198" s="6" t="n">
        <v>1</v>
      </c>
      <c r="H198" s="6" t="n">
        <v>1</v>
      </c>
      <c r="I198" s="6" t="inlineStr">
        <is>
          <t>HIGH</t>
        </is>
      </c>
      <c r="J198" s="7" t="inlineStr">
        <is>
          <t>[สำหรับผู้สอน]
นักเรียนวาดโครงสร้าง Binary Tree ตามหลัก Left-Child Right-Sibling (LCRS) ได้ถูกต้องสมบูรณ์ครบทั้ง 10 โหนด: 1 มีกิ่งซ้ายเป็น 2; 2 มีกิ่งซ้ายเป็น 5 และกิ่งขวาเป็น 3; จาก 5 มีกิ่งขวาต่อไป 6 และ 7; จาก 3 มีกิ่งขวาต่อไป 4; จาก 4 มีกิ่งซ้ายเป็น 8; จาก 8 มีกิ่งขวาต่อไป 9 และ 10 ตรงตามเกณฑ์ที่กำหนดทุกประการ
[สำหรับนักเรียน]
ยอดเยี่ยมมากครับ แปลง General Tree เป็น Binary Tree ตามหลัก Left-Child Right-Sibling ได้ถูกต้องและสมบูรณ์ครบถ้วนทุกตำแหน่ง</t>
        </is>
      </c>
    </row>
    <row r="199" ht="74" customHeight="1">
      <c r="A199" s="6" t="inlineStr">
        <is>
          <t>DS-194</t>
        </is>
      </c>
      <c r="B199" s="6" t="n">
        <v>6</v>
      </c>
      <c r="C199" s="6" t="inlineStr">
        <is>
          <t>img</t>
        </is>
      </c>
      <c r="D199" s="8">
        <f>HYPERLINK("โจทphoto3/LINE_ALBUM_โจทphoto6_260918_1.jpg", "🔗 [เปิดรูปโจทย์] จงแปลง tree ต่อไปนี้ให้เป็น Binary Tree")</f>
        <v/>
      </c>
      <c r="E199" s="6" t="inlineStr">
        <is>
          <t>img</t>
        </is>
      </c>
      <c r="F199" s="8">
        <f>HYPERLINK("photo_clean_ชุดที่3/LINE_ALBUM_Photo2.2_260918_24.jpg","เปิดภาพคำตอบที่ลบคะแนนแล้ว")</f>
        <v/>
      </c>
      <c r="G199" s="6" t="n">
        <v>0</v>
      </c>
      <c r="H199" s="6" t="n">
        <v>0</v>
      </c>
      <c r="I199" s="6" t="inlineStr">
        <is>
          <t>HIGH</t>
        </is>
      </c>
      <c r="J199" s="7" t="inlineStr">
        <is>
          <t>[สำหรับผู้สอน]
นักเรียนตอบว่า 'แปลงไม่ได้? child node &gt; 3' โดยไม่ได้วาดโครงสร้าง Binary Tree ตามหลักการ Left-Child Right-Sibling (LCRS) ตามเกณฑ์ที่กำหนดไว้ หากไม่วาดคำตอบหรือระบุว่าไม่สามารถแปลงได้ จะได้ 0.00 คะแนน
[สำหรับนักเรียน]
General Tree ใดๆ สามารถแปลงเป็น Binary Tree ได้เสมอโดยใช้วิธี Left-Child Right-Sibling (LCRS) แม้ว่าโหนดจะมีลูกมากกว่า 2 โหนดก็ตาม โดยหลักการคือ: กิ่งซ้าย (Left Child) จะชี้ไปยังลูกคนแรก (First Child) ส่วนกิ่งขวา (Right Child) จะชี้ไปยังพี่น้องลำดับถัดไป (Next Sibling) จึงสามารถแปลงได้โดยไม่มีข้อจำกัดเรื่องจำนวนโหนดลูกครับ</t>
        </is>
      </c>
    </row>
    <row r="200" ht="74" customHeight="1">
      <c r="A200" s="6" t="inlineStr">
        <is>
          <t>DS-195</t>
        </is>
      </c>
      <c r="B200" s="6" t="n">
        <v>6</v>
      </c>
      <c r="C200" s="6" t="inlineStr">
        <is>
          <t>img</t>
        </is>
      </c>
      <c r="D200" s="8">
        <f>HYPERLINK("โจทphoto3/LINE_ALBUM_โจทphoto6_260918_1.jpg", "🔗 [เปิดรูปโจทย์] จงแปลง tree ต่อไปนี้ให้เป็น Binary Tree")</f>
        <v/>
      </c>
      <c r="E200" s="6" t="inlineStr">
        <is>
          <t>img</t>
        </is>
      </c>
      <c r="F200" s="8">
        <f>HYPERLINK("photo_clean_ชุดที่3/LINE_ALBUM_Photo2.2_260918_25.jpg","เปิดภาพคำตอบที่ลบคะแนนแล้ว")</f>
        <v/>
      </c>
      <c r="G200" s="6" t="n">
        <v>1</v>
      </c>
      <c r="H200" s="6" t="n">
        <v>1</v>
      </c>
      <c r="I200" s="6" t="inlineStr">
        <is>
          <t>HIGH</t>
        </is>
      </c>
      <c r="J200" s="7" t="inlineStr">
        <is>
          <t>[สำหรับผู้สอน]
นักเรียนวาดโครงสร้าง Binary Tree ตามหลักการ Left-Child Right-Sibling (LCRS) ได้อย่างถูกต้องสมบูรณ์ครบทั้ง 10 โหนด:
- 1 มีลูกซ้ายเป็น 2 และไม่มีลูกขวา
- 2 มีลูกซ้ายเป็น 5 และลูกขวา (sibling) เป็น 3
- 5 มีลูกขวาเป็น 6 และ 6 มีลูกขวาเป็น 7
- 3 มีลูกขวาเป็น 4
- 4 มีลูกซ้ายเป็น 8
- 8 มีลูกขวาเป็น 9 และ 9 มีลูกขวาเป็น 10
ตรงตามเกณฑ์ 1.00 คะแนนเต็ม
[สำหรับนักเรียน]
เก่งมากครับ คุณแปลง General Tree เป็น Binary Tree ตามหลัก Left-Child Right-Sibling ได้อย่างถูกต้องครบถ้วนสมบูรณ์ทุกโหนดและทิศทางของกิ่งถูกต้องทั้งหมด</t>
        </is>
      </c>
    </row>
    <row r="201" ht="74" customHeight="1">
      <c r="A201" s="6" t="inlineStr">
        <is>
          <t>DS-196</t>
        </is>
      </c>
      <c r="B201" s="6" t="n">
        <v>6</v>
      </c>
      <c r="C201" s="6" t="inlineStr">
        <is>
          <t>img</t>
        </is>
      </c>
      <c r="D201" s="8">
        <f>HYPERLINK("โจทphoto3/LINE_ALBUM_โจทphoto6_260918_1.jpg", "🔗 [เปิดรูปโจทย์] จงแปลง tree ต่อไปนี้ให้เป็น Binary Tree")</f>
        <v/>
      </c>
      <c r="E201" s="6" t="inlineStr">
        <is>
          <t>img</t>
        </is>
      </c>
      <c r="F201" s="8">
        <f>HYPERLINK("photo_clean_ชุดที่3/LINE_ALBUM_Photo2.2_260918_26.jpg","เปิดภาพคำตอบที่ลบคะแนนแล้ว")</f>
        <v/>
      </c>
      <c r="G201" s="6" t="n">
        <v>0</v>
      </c>
      <c r="H201" s="6" t="n">
        <v>0</v>
      </c>
      <c r="I201" s="6" t="inlineStr">
        <is>
          <t>HIGH</t>
        </is>
      </c>
      <c r="J201" s="7" t="inlineStr">
        <is>
          <t>[สำหรับผู้สอน]
นักเรียนวาดโครงสร้างผิดหลักการ Left-Child Right-Sibling (LCRS) อย่างชัดเจน โดยต่อโหนด 4 เป็นลูกทางขวาของโหนด 1 โดยตรง (โหนด 1 เป็น Root ที่ไม่มีพี่น้อง จึงต้องไม่มี Right child) และต่อโหนด 3 เป็นลูกของโหนด 2 ในแนวดิ่ง/ซ้ายแทนที่จะเป็น Right sibling อีกทั้งยังเรียงโหนด 2-&gt;3-&gt;5-&gt;6-&gt;7 และ 4-&gt;8-&gt;9-&gt;10 ในลักษณะสายเดี่ยวซิกแซก ซึ่งขัดกับเกณฑ์เฉลย จึงได้ 0.00 คะแนนตาม rubric
[สำหรับนักเรียน]
คำตอบยังไม่ถูกต้องตามหลัก Left-Child Right-Sibling (LCRS) ครับ 
จุดที่ต้องระวัง:
1. โหนด 1 เป็น Root และไม่มีพี่น้อง (Sibling) ดังนั้นกิ่งขวาของ 1 ต้องว่าง ห้ามนำโหนด 4 มาต่อทางขวาของ 1 โดยตรง
2. โหนด 2, 3, 4 เป็นพี่น้องในระดับเดียวกัน ดังนั้นโหนด 3 จะต้องเป็นกิ่งขวาของ 2 และโหนด 4 จะต้องเป็นกิ่งขวาของ 3
3. โหนดที่เป็นลูกคนแรก (Left Child) ของ 2 คือ 5 (ไม่ใช่ 3) และ 6 กับ 7 ต้องเป็นกิ่งขวาต่อจาก 5 ตามลำดับพี่น้องครับ</t>
        </is>
      </c>
    </row>
    <row r="202" ht="74" customHeight="1">
      <c r="A202" s="6" t="inlineStr">
        <is>
          <t>DS-197</t>
        </is>
      </c>
      <c r="B202" s="6" t="n">
        <v>6</v>
      </c>
      <c r="C202" s="6" t="inlineStr">
        <is>
          <t>img</t>
        </is>
      </c>
      <c r="D202" s="8">
        <f>HYPERLINK("โจทphoto3/LINE_ALBUM_โจทphoto6_260918_1.jpg", "🔗 [เปิดรูปโจทย์] จงแปลง tree ต่อไปนี้ให้เป็น Binary Tree")</f>
        <v/>
      </c>
      <c r="E202" s="6" t="inlineStr">
        <is>
          <t>img</t>
        </is>
      </c>
      <c r="F202" s="8">
        <f>HYPERLINK("photo_clean_ชุดที่3/LINE_ALBUM_Photo2.2_260918_27.jpg","เปิดภาพคำตอบที่ลบคะแนนแล้ว")</f>
        <v/>
      </c>
      <c r="G202" s="6" t="n">
        <v>1</v>
      </c>
      <c r="H202" s="6" t="n">
        <v>1</v>
      </c>
      <c r="I202" s="6" t="inlineStr">
        <is>
          <t>HIGH</t>
        </is>
      </c>
      <c r="J202" s="7" t="inlineStr">
        <is>
          <t>[สำหรับผู้สอน]
นักเรียนแปลง General Tree เป็น Binary Tree ตามหลักการ Left-Child Right-Sibling (LCRS) ได้ถูกต้องสมบูรณ์ครบทั้ง 10 โหนด โดย 1 มี Left Child เป็น 2, โหนด 2 มี Left Child เป็น 5 และ Right Child เป็น 3, ใต้ 5 มี Right Child เรียงเป็น 6 และ 7 ตามลำดับ, โหนด 3 มี Right Child เป็น 4, โหนด 4 มี Left Child เป็น 8, และใต้ 8 มี Right Child เรียงเป็น 9 และ 10 ตามลำดับ โครงสร้างถูกต้องตามเฉลยและเกณฑ์การให้คะแนนทุกประการ
[สำหรับนักเรียน]
ยอดเยี่ยมมากครับ คุณแปลง General Tree เป็น Binary Tree ตามกฎ Left-Child Right-Sibling (ลูกคนแรกเป็นกิ่งซ้าย พี่น้องถัดไปเป็นกิ่งขวา) ได้อย่างถูกต้องแม่นยำครบถ้วนทุกโหนด</t>
        </is>
      </c>
    </row>
    <row r="203" ht="74" customHeight="1">
      <c r="A203" s="6" t="inlineStr">
        <is>
          <t>DS-198</t>
        </is>
      </c>
      <c r="B203" s="6" t="n">
        <v>6</v>
      </c>
      <c r="C203" s="6" t="inlineStr">
        <is>
          <t>img</t>
        </is>
      </c>
      <c r="D203" s="8">
        <f>HYPERLINK("โจทphoto3/LINE_ALBUM_โจทphoto6_260918_1.jpg", "🔗 [เปิดรูปโจทย์] จงแปลง tree ต่อไปนี้ให้เป็น Binary Tree")</f>
        <v/>
      </c>
      <c r="E203" s="6" t="inlineStr">
        <is>
          <t>img</t>
        </is>
      </c>
      <c r="F203" s="8">
        <f>HYPERLINK("photo_clean_ชุดที่3/LINE_ALBUM_Photo2.2_260918_28.jpg","เปิดภาพคำตอบที่ลบคะแนนแล้ว")</f>
        <v/>
      </c>
      <c r="G203" s="6" t="n">
        <v>0</v>
      </c>
      <c r="H203" s="6" t="n">
        <v>0</v>
      </c>
      <c r="I203" s="6" t="inlineStr">
        <is>
          <t>HIGH</t>
        </is>
      </c>
      <c r="J203" s="7" t="inlineStr">
        <is>
          <t>[สำหรับผู้สอน]
เมื่อปรับแนวภาพให้ตั้งตรงตามข้อสอบ นักเรียนวาดโครงสร้างไม่ถูกต้องตามหลัก Left-Child Right-Sibling (LCRS) ดังนี้:
1. นักเรียนวาดให้โหนด 1 มีกิ่งซ้ายไปที่ 2 และกิ่งขวาไปที่ 3 ซึ่งผิดหลักการ LCRS เนื่องจาก 3 เป็น Sibling ของ 2 (ไม่ใช่ Sibling ของ 1) ดังนั้น 3 ต้องเป็น Right Child ของโหนด 2 ไม่ใช่ต่อจากโหนด 1 โดยตรง (โหนด 1 ไม่มี Sibling จึงต้องไม่มี Right Child)
2. จากโหนด 3 นักเรียนวาดกิ่งลงมายังโหนด 4 ซึ่งผิดโครงสร้างต่อเนื่องตามกันไป
ตามเกณฑ์การให้คะแนน หากวางโหนด 3 เป็นกิ่งขวาของโหนด 1 โดยตรง หรือโครงสร้างผิดหลัก LCRS จะได้ 0.00 คะแนน
[สำหรับนักเรียน]
คำตอบยังไม่ถูกต้องตามหลักการแปลง General Tree เป็น Binary Tree (Left-Child Right-Sibling: LCRS) ครับ
จุดที่ควรปรับปรุง:
- ตามหลัก LCRS กิ่งซ้าย (Left Child) คือ 'ลูกคนแรก (First Child)' และกิ่งขวา (Right Child) คือ 'พี่น้องถัดไป (Next Sibling)'
- โหนด 1 เป็น Root ที่ไม่มีพี่น้อง ดังนั้นโหนด 1 จะต้องมีเฉพาะกิ่งซ้ายชี้ไปที่ 2 และต้องไม่มีกิ่งขวา
- โหนด 3 เป็นพี่น้องถัดไปของโหนด 2 ดังนั้นโหนด 3 จะต้องเป็นกิ่งขวาของโหนด 2 (2 -&gt; ขวา -&gt; 3) ไม่ใช่ต่อแยกออกมาจากโหนด 1 ครับ
- จากนั้นโหนด 4 ซึ่งเป็นพี่น้องถัดไปของ 3 ก็จะเป็นกิ่งขวาของโหนด 3 (3 -&gt; ขวา -&gt; 4) ครับ</t>
        </is>
      </c>
    </row>
    <row r="204" ht="74" customHeight="1">
      <c r="A204" s="6" t="inlineStr">
        <is>
          <t>DS-199</t>
        </is>
      </c>
      <c r="B204" s="6" t="n">
        <v>6</v>
      </c>
      <c r="C204" s="6" t="inlineStr">
        <is>
          <t>img</t>
        </is>
      </c>
      <c r="D204" s="8">
        <f>HYPERLINK("โจทphoto3/LINE_ALBUM_โจทphoto6_260918_1.jpg", "🔗 [เปิดรูปโจทย์] จงแปลง tree ต่อไปนี้ให้เป็น Binary Tree")</f>
        <v/>
      </c>
      <c r="E204" s="6" t="inlineStr">
        <is>
          <t>img</t>
        </is>
      </c>
      <c r="F204" s="8">
        <f>HYPERLINK("photo_clean_ชุดที่3/LINE_ALBUM_Photo2.2_260918_29.jpg","เปิดภาพคำตอบที่ลบคะแนนแล้ว")</f>
        <v/>
      </c>
      <c r="G204" s="6" t="n">
        <v>0</v>
      </c>
      <c r="H204" s="6" t="n">
        <v>0</v>
      </c>
      <c r="I204" s="6" t="inlineStr">
        <is>
          <t>HIGH</t>
        </is>
      </c>
      <c r="J204" s="7" t="inlineStr">
        <is>
          <t>[สำหรับผู้สอน]
นักเรียนแปลงโครงสร้างผิดหลักการ Left-Child Right-Sibling (LCRS) อย่างสิ้นเชิง โดยนำโหนด 1 แตกกิ่งซ้ายเป็น 2 และกิ่งขวาเป็น 3 ซึ่งผิดเนื่องจากโหนด 1 เป็น Root ไม่มีพี่น้อง (Sibling) ต้องไม่มีกิ่งขวา นอกจากนี้ยังจัดวางตำแหน่งของโหนดลูกและพี่น้องอื่นๆ ผิดพลาด เช่น ให้ 2 แตกกิ่งไป 4 และ 5 ตามเกณฑ์ rubric จึงได้ 0.00 คะแนน
[สำหรับนักเรียน]
คำตอบยังไม่ถูกต้องตามหลักการ Left-Child Right-Sibling (LCRS) ครับ 
- กิ่งซ้าย (Left-Child) หมายถึง 'ลูกคนแรก' เท่านั้น ดังนั้นโหนด 1 จะมีลูกคนแรกคือ 2
- กิ่งขวา (Right-Sibling) หมายถึง 'พี่น้องคนถัดไป' ดังนั้นโหนด 1 ไม่มีพี่น้อง จะต้องไม่มีกิ่งขวา
- โหนด 3 และ 4 ซึ่งเป็นพี่น้องของ 2 จะต้องเป็นกิ่งขวาต่อจาก 2 (2 ขวาไป 3, 3 ขวาไป 4) ไม่ใช่แตกกิ่งแยกจาก 1 โดยตรง ลองทบทวนนิยาม First Child - Next Sibling อีกครั้งนะครับ</t>
        </is>
      </c>
    </row>
    <row r="205" ht="74" customHeight="1">
      <c r="A205" s="6" t="inlineStr">
        <is>
          <t>DS-200</t>
        </is>
      </c>
      <c r="B205" s="6" t="n">
        <v>6</v>
      </c>
      <c r="C205" s="6" t="inlineStr">
        <is>
          <t>img</t>
        </is>
      </c>
      <c r="D205" s="8">
        <f>HYPERLINK("โจทphoto3/LINE_ALBUM_โจทphoto6_260918_1.jpg", "🔗 [เปิดรูปโจทย์] จงแปลง tree ต่อไปนี้ให้เป็น Binary Tree")</f>
        <v/>
      </c>
      <c r="E205" s="6" t="inlineStr">
        <is>
          <t>img</t>
        </is>
      </c>
      <c r="F205" s="8">
        <f>HYPERLINK("photo_clean_ชุดที่3/LINE_ALBUM_Photo2.2_260918_30.jpg","เปิดภาพคำตอบที่ลบคะแนนแล้ว")</f>
        <v/>
      </c>
      <c r="G205" s="6" t="n">
        <v>1</v>
      </c>
      <c r="H205" s="6" t="n">
        <v>1</v>
      </c>
      <c r="I205" s="6" t="inlineStr">
        <is>
          <t>HIGH</t>
        </is>
      </c>
      <c r="J205" s="7" t="inlineStr">
        <is>
          <t>[สำหรับผู้สอน]
นักเรียนวาดโครงสร้าง Binary Tree ตามหลักการ Left-Child Right-Sibling (LCRS) ได้ถูกต้องสมบูรณ์ครบทั้ง 10 โหนด โดย 1 มีลูกซ้ายเป็น 2; 2 มีลูกซ้ายเป็น 5 และลูกขวา (sibling) เป็น 3; 5 มีพี่น้องถัดไปทางขวาคือ 6 และ 7 ตามลำดับ; 3 มีพี่น้องทางขวาคือ 4; 4 มีลูกซ้ายเป็น 8; และ 8 มีพี่น้องถัดไปทางขวาคือ 9 และ 10 ตามลำดับ โครงสร้างความสัมพันธ์ถูกต้องทุกประการ ให้คะแนนเต็ม 1.00 ตามเกณฑ์
[สำหรับนักเรียน]
ยอดเยี่ยมมากครับ แปลง General Tree เป็น Binary Tree ตามหลักการ Left-Child Right-Sibling (ลูกคนแรกอยู่ซ้าย พี่น้องถัดไปอยู่ขวา) ได้ถูกต้องสมบูรณ์ครบถ้วนทุกโหนด</t>
        </is>
      </c>
    </row>
    <row r="206" ht="74" customHeight="1">
      <c r="A206" s="6" t="inlineStr">
        <is>
          <t>DS-201</t>
        </is>
      </c>
      <c r="B206" s="6" t="n">
        <v>6</v>
      </c>
      <c r="C206" s="6" t="inlineStr">
        <is>
          <t>img</t>
        </is>
      </c>
      <c r="D206" s="8">
        <f>HYPERLINK("โจทphoto3/LINE_ALBUM_โจทphoto6_260918_1.jpg", "🔗 [เปิดรูปโจทย์] จงแปลง tree ต่อไปนี้ให้เป็น Binary Tree")</f>
        <v/>
      </c>
      <c r="E206" s="6" t="inlineStr">
        <is>
          <t>img</t>
        </is>
      </c>
      <c r="F206" s="8">
        <f>HYPERLINK("photo_clean_ชุดที่3/LINE_ALBUM_Photo2.2_260918_31.jpg","เปิดภาพคำตอบที่ลบคะแนนแล้ว")</f>
        <v/>
      </c>
      <c r="G206" s="6" t="n">
        <v>0</v>
      </c>
      <c r="H206" s="6" t="n">
        <v>0</v>
      </c>
      <c r="I206" s="6" t="inlineStr">
        <is>
          <t>HIGH</t>
        </is>
      </c>
      <c r="J206" s="7" t="inlineStr">
        <is>
          <t>[สำหรับผู้สอน]
นักเรียนแปลงโครงสร้างไม่ถูกต้องตามหลัก Left-Child Right-Sibling (LCRS) โดยเขียนโหนด 4 ขึ้นเป็น root แทนที่จะเป็นโหนด 1 อีกทั้งลำดับความสัมพันธ์ระหว่าง parent-child และ sibling ผิดเกือบทั้งหมด ไม่ตรงกับเฉลย จึงได้ 0.00 คะแนนตามเกณฑ์
[สำหรับนักเรียน]
โครงสร้างต้นไม้ยังไม่ถูกต้องตามหลัก Left-Child Right-Sibling (LCRS) ครับ 
หลักการคือ:
1. กิ่งซ้าย (Left Child) จะต้องชี้ไปยัง 'ลูกคนแรก' ของโหนดนั้นเท่านั้น
2. กิ่งขวา (Right Child) จะต้องชี้ไปยัง 'พี่น้องที่อยู่ติดกันทางขวา' ของโหนดนั้น
ดังนั้น โหนดราก (Root) ต้องเริ่มต้นที่ 1 โดยมีลูกคนแรกคือกิ่งซ้ายไปที่ 2 และไม่มีกิ่งขวา จากนั้น 2 จึงมีกิ่งซ้ายเป็น 5 (ลูกคนแรก) และกิ่งขวาเป็น 3 (พี่น้องถัดไป) ลองทบทวนการแปลง LCRS ใหม่อีกครั้งนะครับ</t>
        </is>
      </c>
    </row>
    <row r="207" ht="74" customHeight="1">
      <c r="A207" s="6" t="inlineStr">
        <is>
          <t>DS-202</t>
        </is>
      </c>
      <c r="B207" s="6" t="n">
        <v>6</v>
      </c>
      <c r="C207" s="6" t="inlineStr">
        <is>
          <t>img</t>
        </is>
      </c>
      <c r="D207" s="8">
        <f>HYPERLINK("โจทphoto3/LINE_ALBUM_โจทphoto6_260918_1.jpg", "🔗 [เปิดรูปโจทย์] จงแปลง tree ต่อไปนี้ให้เป็น Binary Tree")</f>
        <v/>
      </c>
      <c r="E207" s="6" t="inlineStr">
        <is>
          <t>img</t>
        </is>
      </c>
      <c r="F207" s="8">
        <f>HYPERLINK("photo_clean_ชุดที่3/LINE_ALBUM_Photo2.2_260918_32.jpg","เปิดภาพคำตอบที่ลบคะแนนแล้ว")</f>
        <v/>
      </c>
      <c r="G207" s="6" t="n">
        <v>1</v>
      </c>
      <c r="H207" s="6" t="n">
        <v>1</v>
      </c>
      <c r="I207" s="6" t="inlineStr">
        <is>
          <t>HIGH</t>
        </is>
      </c>
      <c r="J207" s="7" t="inlineStr">
        <is>
          <t>[สำหรับผู้สอน]
นักเรียนวาดโครงสร้าง Binary Tree ตามหลัก Left-Child Right-Sibling (LCRS) ได้ถูกต้องครบถ้วนสมบูรณ์: โหนด 1 มี Left Child เป็น 2; โหนด 2 มี Left Child เป็น 5 และ Right Child เป็น 3; ใต้โหนด 5 ต่อขวาเป็น 6 และ 7 ตามลำดับ; โหนด 3 ต่อขวาเป็น 4; โหนด 4 มี Left Child เป็น 8; ใต้โหนด 8 ต่อขวาเป็น 9 และ 10 ตามลำดับ ครบถ้วนถูกต้องตามเกณฑ์ทุกประการ
[สำหรับนักเรียน]
ยอดเยี่ยมมากครับ คุณแปลง General Tree เป็น Binary Tree ตามหลักการ Left-Child Right-Sibling (LCRS) ได้อย่างถูกต้องสมบูรณ์ ทั้งการเชื่อมโยงลูกคนแรก (Left Child) และพี่น้องถัดไป (Right Sibling)</t>
        </is>
      </c>
    </row>
    <row r="208" ht="74" customHeight="1">
      <c r="A208" s="6" t="inlineStr">
        <is>
          <t>DS-203</t>
        </is>
      </c>
      <c r="B208" s="6" t="n">
        <v>6</v>
      </c>
      <c r="C208" s="6" t="inlineStr">
        <is>
          <t>img</t>
        </is>
      </c>
      <c r="D208" s="8">
        <f>HYPERLINK("โจทphoto3/LINE_ALBUM_โจทphoto6_260918_1.jpg", "🔗 [เปิดรูปโจทย์] จงแปลง tree ต่อไปนี้ให้เป็น Binary Tree")</f>
        <v/>
      </c>
      <c r="E208" s="6" t="inlineStr">
        <is>
          <t>img</t>
        </is>
      </c>
      <c r="F208" s="8">
        <f>HYPERLINK("photo_clean_ชุดที่3/LINE_ALBUM_Photo2.2_260918_33.jpg","เปิดภาพคำตอบที่ลบคะแนนแล้ว")</f>
        <v/>
      </c>
      <c r="G208" s="6" t="n">
        <v>1</v>
      </c>
      <c r="H208" s="6" t="n">
        <v>1</v>
      </c>
      <c r="I208" s="6" t="inlineStr">
        <is>
          <t>HIGH</t>
        </is>
      </c>
      <c r="J208" s="7" t="inlineStr">
        <is>
          <t>[สำหรับผู้สอน]
นักเรียนวาดโครงสร้าง Binary Tree จาก General Tree ตามหลัก Left-Child Right-Sibling (LCRS) ได้ถูกต้องสมบูรณ์ครบทั้ง 10 โหนด โดย 1 มี Left Child เป็น 2, โหนด 2 มี Left Child เป็น 5 และ Right Sibling เป็น 3, โหนด 5 ต่อด้วย Sibling 6 และ 7 ทางขวา, โหนด 3 มี Right Sibling เป็น 4, โหนด 4 มี Left Child เป็น 8, และโหนด 8 ต่อด้วย Sibling 9 และ 10 ทางขวาอย่างถูกต้อง
[สำหรับนักเรียน]
ยอดเยี่ยมมากครับ การแปลง General Tree เป็น Binary Tree ตามหลัก Left-Child Right-Sibling ถูกต้องสมบูรณ์ครบทุกโหนดและทุกทิศทางของกิ่ง</t>
        </is>
      </c>
    </row>
    <row r="209" ht="74" customHeight="1">
      <c r="A209" s="6" t="inlineStr">
        <is>
          <t>DS-204</t>
        </is>
      </c>
      <c r="B209" s="6" t="n">
        <v>6</v>
      </c>
      <c r="C209" s="6" t="inlineStr">
        <is>
          <t>img</t>
        </is>
      </c>
      <c r="D209" s="8">
        <f>HYPERLINK("โจทphoto3/LINE_ALBUM_โจทphoto6_260918_1.jpg", "🔗 [เปิดรูปโจทย์] จงแปลง tree ต่อไปนี้ให้เป็น Binary Tree")</f>
        <v/>
      </c>
      <c r="E209" s="6" t="inlineStr">
        <is>
          <t>img</t>
        </is>
      </c>
      <c r="F209" s="8">
        <f>HYPERLINK("photo_clean_ชุดที่3/LINE_ALBUM_Photo2.2_260918_34.jpg","เปิดภาพคำตอบที่ลบคะแนนแล้ว")</f>
        <v/>
      </c>
      <c r="G209" s="6" t="n">
        <v>0</v>
      </c>
      <c r="H209" s="6" t="n">
        <v>0</v>
      </c>
      <c r="I209" s="6" t="inlineStr">
        <is>
          <t>HIGH</t>
        </is>
      </c>
      <c r="J209" s="7" t="inlineStr">
        <is>
          <t>[สำหรับผู้สอน]
นักเรียนวาดโครงสร้าง Binary Tree โดยไม่เป็นไปตามหลักการ Left-Child Right-Sibling (LCRS) หลายจุด ได้แก่:
1. ใต้โหนด 2 นักเรียนเชื่อมกิ่งซ้ายไปยัง 3 และกิ่งขวาไปยัง 4 ซึ่งผิดหลัก LCRS (กิ่งซ้ายต้องเป็นลูกคนแรกคือ 5 ส่วนกิ่งขวาต้องเป็น sibling ถัดไปคือ 3)
2. นำ 5, 6, 7 ไปต่อใต้ 3 โดยให้ 5 เป็นลูกซ้ายของ 3 และ 6, 7 เป็นลูกซ้าย-ขวาของ 5
3. โครงสร้างใต้ 4 ต่อ 8 เป็นกิ่งขวา และต่อ 9, 10 เป็นกิ่งซ้าย-ขวาของ 8 ซึ่งผิดทั้งหมด
ตามเกณฑ์ rubric หากโครงสร้างแตกกิ่งไม่เป็นไปตามหลัก LCRS ให้ 0.00 คะแนน
[สำหรับนักเรียน]
การแปลง General Tree เป็น Binary Tree ตามหลัก Left-Child Right-Sibling (LCRS) มีหลักการดังนี้ครับ:
1. กิ่งซ้าย (Left Child) หมายถึง 'ลูกคนแรก (First Child)' เท่านั้น ดังนั้นกิ่งซ้ายของ 2 ต้องเป็น 5 (ไม่ใช่ 3) และกิ่งซ้ายของ 4 ต้องเป็น 8
2. กิ่งขวา (Right Child) หมายถึง 'พี่น้องคนถัดไป (Next Sibling)' ในระดับเดียวกัน ดังนั้นพี่น้องถัดไปของ 2 คือ 3 (กิ่งขวาของ 2 -&gt; 3) และพี่น้องถัดไปของ 3 คือ 4 (กิ่งขวาของ 3 -&gt; 4)
3. สำหรับโหนดที่เป็นพี่น้องกลุ่มเดียวกัน เช่น 5, 6, 7 ต้องเชื่อมแบบ 5 มีกิ่งขวาเป็น 6 และ 6 มีกิ่งขวาเป็น 7 ครับ ลองทบทวนนิยามของ Left-Child Right-Sibling อีกครั้งนะครับ</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O12"/>
  <sheetViews>
    <sheetView workbookViewId="0">
      <selection activeCell="A1" sqref="A1"/>
    </sheetView>
  </sheetViews>
  <sheetFormatPr baseColWidth="8" defaultRowHeight="15"/>
  <cols>
    <col width="12" customWidth="1" min="2" max="2"/>
    <col width="38" customWidth="1" min="3" max="3"/>
    <col width="25" customWidth="1" min="4" max="4"/>
    <col width="13" customWidth="1" min="5" max="5"/>
    <col width="13" customWidth="1" min="6" max="6"/>
    <col width="19" customWidth="1" min="7" max="7"/>
    <col width="18" customWidth="1" min="8" max="8"/>
    <col width="21" customWidth="1" min="9" max="9"/>
    <col width="21" customWidth="1" min="10" max="10"/>
    <col width="12" customWidth="1" min="11" max="11"/>
    <col width="12" customWidth="1" min="12" max="12"/>
    <col width="15" customWidth="1" min="13" max="13"/>
    <col width="15" customWidth="1" min="14" max="14"/>
    <col width="44" customWidth="1" min="15" max="15"/>
    <col width="40" customWidth="1" min="16" max="16"/>
  </cols>
  <sheetData>
    <row r="2">
      <c r="B2" s="21" t="inlineStr">
        <is>
          <t>รายงานสรุปผลการประเมินความแม่นยำระบบตรวจข้อสอบอัตโนมัติด้วย AI (Benchmark Summary)</t>
        </is>
      </c>
    </row>
    <row r="3">
      <c r="B3" s="22" t="inlineStr">
        <is>
          <t>วิชาโครงสร้างข้อมูลและขั้นตอนวิธี (Data Structures and Algorithms) | นิสิต 34 คน x 6 ข้อสอบ = 204 ตัวอย่าง (ชุดสมบูรณ์ 100%)</t>
        </is>
      </c>
    </row>
    <row r="5" ht="28" customHeight="1">
      <c r="B5" s="23" t="inlineStr">
        <is>
          <t>ข้อที่</t>
        </is>
      </c>
      <c r="C5" s="23" t="inlineStr">
        <is>
          <t>หัวข้อโจทย์</t>
        </is>
      </c>
      <c r="D5" s="23" t="inlineStr">
        <is>
          <t>ประเภทคำตอบ</t>
        </is>
      </c>
      <c r="E5" s="23" t="inlineStr">
        <is>
          <t>คะแนนเต็ม</t>
        </is>
      </c>
      <c r="F5" s="23" t="inlineStr">
        <is>
          <t>จำนวน (N)</t>
        </is>
      </c>
      <c r="G5" s="23" t="inlineStr">
        <is>
          <t>ตรงเป๊ะ (Exact)</t>
        </is>
      </c>
      <c r="H5" s="23" t="inlineStr">
        <is>
          <t>ความแม่นยำ (%)</t>
        </is>
      </c>
      <c r="I5" s="23" t="inlineStr">
        <is>
          <t>ต่าง ≤0.25 pt (%)</t>
        </is>
      </c>
      <c r="J5" s="23" t="inlineStr">
        <is>
          <t>ต่าง ≤0.50 pt (%)</t>
        </is>
      </c>
      <c r="K5" s="23" t="inlineStr">
        <is>
          <t>MAE</t>
        </is>
      </c>
      <c r="L5" s="23" t="inlineStr">
        <is>
          <t>RMSE</t>
        </is>
      </c>
      <c r="M5" s="23" t="inlineStr">
        <is>
          <t>Pearson (r)</t>
        </is>
      </c>
      <c r="N5" s="23" t="inlineStr">
        <is>
          <t>Kappa (QWK)</t>
        </is>
      </c>
      <c r="O5" s="23" t="inlineStr">
        <is>
          <t>ระดับความสอดคล้อง</t>
        </is>
      </c>
    </row>
    <row r="6" ht="22" customHeight="1">
      <c r="B6" s="24" t="inlineStr">
        <is>
          <t>ข้อ 1</t>
        </is>
      </c>
      <c r="C6" s="25" t="inlineStr">
        <is>
          <t>Row-major vs Column-major (Array 2D)</t>
        </is>
      </c>
      <c r="D6" s="24" t="inlineStr">
        <is>
          <t>Text (ข้อเขียน)</t>
        </is>
      </c>
      <c r="E6" s="24" t="n">
        <v>2</v>
      </c>
      <c r="F6" s="24" t="n">
        <v>34</v>
      </c>
      <c r="G6" s="24" t="inlineStr">
        <is>
          <t>27/34</t>
        </is>
      </c>
      <c r="H6" s="24" t="inlineStr">
        <is>
          <t>79.4%</t>
        </is>
      </c>
      <c r="I6" s="24" t="inlineStr">
        <is>
          <t>79.4%</t>
        </is>
      </c>
      <c r="J6" s="24" t="inlineStr">
        <is>
          <t>79.4%</t>
        </is>
      </c>
      <c r="K6" s="24" t="n">
        <v>0.2353</v>
      </c>
      <c r="L6" s="24" t="n">
        <v>0.5423</v>
      </c>
      <c r="M6" s="24" t="n">
        <v>0.6318</v>
      </c>
      <c r="N6" s="24" t="n">
        <v>0.6288</v>
      </c>
      <c r="O6" s="25" t="inlineStr">
        <is>
          <t>สอดคล้องระดับสูง (Substantial)</t>
        </is>
      </c>
    </row>
    <row r="7" ht="22" customHeight="1">
      <c r="B7" s="24" t="inlineStr">
        <is>
          <t>ข้อ 2</t>
        </is>
      </c>
      <c r="C7" s="25" t="inlineStr">
        <is>
          <t>O(n log n) vs O(n^2) Complexity</t>
        </is>
      </c>
      <c r="D7" s="24" t="inlineStr">
        <is>
          <t>Text (ข้อเขียน)</t>
        </is>
      </c>
      <c r="E7" s="24" t="n">
        <v>2</v>
      </c>
      <c r="F7" s="24" t="n">
        <v>34</v>
      </c>
      <c r="G7" s="24" t="inlineStr">
        <is>
          <t>19/34</t>
        </is>
      </c>
      <c r="H7" s="24" t="inlineStr">
        <is>
          <t>55.9%</t>
        </is>
      </c>
      <c r="I7" s="24" t="inlineStr">
        <is>
          <t>55.9%</t>
        </is>
      </c>
      <c r="J7" s="24" t="inlineStr">
        <is>
          <t>85.3%</t>
        </is>
      </c>
      <c r="K7" s="24" t="n">
        <v>0.3088</v>
      </c>
      <c r="L7" s="24" t="n">
        <v>0.5073</v>
      </c>
      <c r="M7" s="24" t="n">
        <v>0.6213</v>
      </c>
      <c r="N7" s="24" t="n">
        <v>0.5816</v>
      </c>
      <c r="O7" s="25" t="inlineStr">
        <is>
          <t>สอดคล้องระดับปานกลาง (Moderate)</t>
        </is>
      </c>
    </row>
    <row r="8" ht="22" customHeight="1">
      <c r="B8" s="24" t="inlineStr">
        <is>
          <t>ข้อ 3</t>
        </is>
      </c>
      <c r="C8" s="25" t="inlineStr">
        <is>
          <t>Linked List vs Array (Stack/Queue)</t>
        </is>
      </c>
      <c r="D8" s="24" t="inlineStr">
        <is>
          <t>Text (ข้อเขียน)</t>
        </is>
      </c>
      <c r="E8" s="24" t="n">
        <v>1</v>
      </c>
      <c r="F8" s="24" t="n">
        <v>34</v>
      </c>
      <c r="G8" s="24" t="inlineStr">
        <is>
          <t>12/34</t>
        </is>
      </c>
      <c r="H8" s="24" t="inlineStr">
        <is>
          <t>35.3%</t>
        </is>
      </c>
      <c r="I8" s="24" t="inlineStr">
        <is>
          <t>70.6%</t>
        </is>
      </c>
      <c r="J8" s="24" t="inlineStr">
        <is>
          <t>97.1%</t>
        </is>
      </c>
      <c r="K8" s="24" t="n">
        <v>0.2426</v>
      </c>
      <c r="L8" s="24" t="n">
        <v>0.3237</v>
      </c>
      <c r="M8" s="24" t="n">
        <v>0.5441</v>
      </c>
      <c r="N8" s="24" t="n">
        <v>0.533</v>
      </c>
      <c r="O8" s="25" t="inlineStr">
        <is>
          <t>สอดคล้องระดับปานกลาง (Moderate)</t>
        </is>
      </c>
    </row>
    <row r="9" ht="22" customHeight="1">
      <c r="B9" s="24" t="inlineStr">
        <is>
          <t>ข้อ 4</t>
        </is>
      </c>
      <c r="C9" s="25" t="inlineStr">
        <is>
          <t>Binary Search Tree Construction</t>
        </is>
      </c>
      <c r="D9" s="24" t="inlineStr">
        <is>
          <t>รูปภาพลายมือ (Vision)</t>
        </is>
      </c>
      <c r="E9" s="24" t="n">
        <v>1</v>
      </c>
      <c r="F9" s="24" t="n">
        <v>34</v>
      </c>
      <c r="G9" s="24" t="inlineStr">
        <is>
          <t>34/34</t>
        </is>
      </c>
      <c r="H9" s="24" t="inlineStr">
        <is>
          <t>100.0%</t>
        </is>
      </c>
      <c r="I9" s="24" t="inlineStr">
        <is>
          <t>100.0%</t>
        </is>
      </c>
      <c r="J9" s="24" t="inlineStr">
        <is>
          <t>100.0%</t>
        </is>
      </c>
      <c r="K9" s="24" t="n">
        <v>0</v>
      </c>
      <c r="L9" s="24" t="n">
        <v>0</v>
      </c>
      <c r="M9" s="24" t="n">
        <v>1</v>
      </c>
      <c r="N9" s="24" t="n">
        <v>1</v>
      </c>
      <c r="O9" s="25" t="inlineStr">
        <is>
          <t>สอดคล้องเกือบสมบูรณ์แบบ (Almost Perfect)</t>
        </is>
      </c>
    </row>
    <row r="10" ht="22" customHeight="1">
      <c r="B10" s="24" t="inlineStr">
        <is>
          <t>ข้อ 5</t>
        </is>
      </c>
      <c r="C10" s="25" t="inlineStr">
        <is>
          <t>Infix to Prefix/Postfix &amp; Tree Array</t>
        </is>
      </c>
      <c r="D10" s="24" t="inlineStr">
        <is>
          <t>รูปภาพลายมือ (Vision)</t>
        </is>
      </c>
      <c r="E10" s="24" t="n">
        <v>1</v>
      </c>
      <c r="F10" s="24" t="n">
        <v>34</v>
      </c>
      <c r="G10" s="24" t="inlineStr">
        <is>
          <t>34/34</t>
        </is>
      </c>
      <c r="H10" s="24" t="inlineStr">
        <is>
          <t>100.0%</t>
        </is>
      </c>
      <c r="I10" s="24" t="inlineStr">
        <is>
          <t>100.0%</t>
        </is>
      </c>
      <c r="J10" s="24" t="inlineStr">
        <is>
          <t>100.0%</t>
        </is>
      </c>
      <c r="K10" s="24" t="n">
        <v>0</v>
      </c>
      <c r="L10" s="24" t="n">
        <v>0</v>
      </c>
      <c r="M10" s="24" t="n">
        <v>1</v>
      </c>
      <c r="N10" s="24" t="n">
        <v>1</v>
      </c>
      <c r="O10" s="25" t="inlineStr">
        <is>
          <t>สอดคล้องสมบูรณ์แบบ (Perfect Agreement)</t>
        </is>
      </c>
    </row>
    <row r="11" ht="22" customHeight="1">
      <c r="B11" s="24" t="inlineStr">
        <is>
          <t>ข้อ 6</t>
        </is>
      </c>
      <c r="C11" s="25" t="inlineStr">
        <is>
          <t>General Tree to Binary Tree (LCRS)</t>
        </is>
      </c>
      <c r="D11" s="24" t="inlineStr">
        <is>
          <t>รูปภาพลายมือ (Vision)</t>
        </is>
      </c>
      <c r="E11" s="24" t="n">
        <v>1</v>
      </c>
      <c r="F11" s="24" t="n">
        <v>34</v>
      </c>
      <c r="G11" s="24" t="inlineStr">
        <is>
          <t>34/34</t>
        </is>
      </c>
      <c r="H11" s="24" t="inlineStr">
        <is>
          <t>100.0%</t>
        </is>
      </c>
      <c r="I11" s="24" t="inlineStr">
        <is>
          <t>100.0%</t>
        </is>
      </c>
      <c r="J11" s="24" t="inlineStr">
        <is>
          <t>100.0%</t>
        </is>
      </c>
      <c r="K11" s="24" t="n">
        <v>0</v>
      </c>
      <c r="L11" s="24" t="n">
        <v>0</v>
      </c>
      <c r="M11" s="24" t="n">
        <v>1</v>
      </c>
      <c r="N11" s="24" t="n">
        <v>1</v>
      </c>
      <c r="O11" s="25" t="inlineStr">
        <is>
          <t>สอดคล้องเกือบสมบูรณ์แบบ (Almost Perfect)</t>
        </is>
      </c>
    </row>
    <row r="12" ht="26" customHeight="1">
      <c r="B12" s="26" t="inlineStr">
        <is>
          <t>รวม</t>
        </is>
      </c>
      <c r="C12" s="27" t="inlineStr">
        <is>
          <t>ภาพรวมทั้งชุดข้อสอบ (Grand Total)</t>
        </is>
      </c>
      <c r="D12" s="26" t="inlineStr">
        <is>
          <t>ข้อเขียน + รูปภาพ</t>
        </is>
      </c>
      <c r="E12" s="26" t="n">
        <v>8</v>
      </c>
      <c r="F12" s="26" t="n">
        <v>204</v>
      </c>
      <c r="G12" s="26" t="inlineStr">
        <is>
          <t>160/204</t>
        </is>
      </c>
      <c r="H12" s="26" t="inlineStr">
        <is>
          <t>78.4%</t>
        </is>
      </c>
      <c r="I12" s="26" t="inlineStr">
        <is>
          <t>84.3%</t>
        </is>
      </c>
      <c r="J12" s="26" t="inlineStr">
        <is>
          <t>93.6%</t>
        </is>
      </c>
      <c r="K12" s="26" t="n">
        <v>0.1311</v>
      </c>
      <c r="L12" s="26" t="n">
        <v>0.3307</v>
      </c>
      <c r="M12" s="26" t="n">
        <v>0.8562</v>
      </c>
      <c r="N12" s="26" t="n">
        <v>0.8685</v>
      </c>
      <c r="O12" s="27" t="inlineStr">
        <is>
          <t>สอดคล้องเกือบสมบูรณ์แบบ (Near Perfect)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4:J27"/>
  <sheetViews>
    <sheetView showGridLines="1" workbookViewId="0">
      <selection activeCell="A1" sqref="A1"/>
    </sheetView>
  </sheetViews>
  <sheetFormatPr baseColWidth="8" defaultRowHeight="15"/>
  <cols>
    <col width="14" customWidth="1" min="1" max="1"/>
    <col width="12" customWidth="1" min="2" max="2"/>
    <col width="16" customWidth="1" min="3" max="3"/>
    <col width="48" customWidth="1" min="4" max="4"/>
    <col width="16" customWidth="1" min="5" max="5"/>
    <col width="55" customWidth="1" min="6" max="6"/>
    <col width="15" customWidth="1" min="7" max="7"/>
    <col width="14" customWidth="1" min="8" max="8"/>
    <col width="16" customWidth="1" min="9" max="9"/>
    <col width="38" customWidth="1" min="10" max="10"/>
  </cols>
  <sheetData>
    <row r="4" ht="24" customHeight="1">
      <c r="A4" s="1" t="inlineStr">
        <is>
          <t>sample_id</t>
        </is>
      </c>
      <c r="B4" s="1" t="inlineStr">
        <is>
          <t>question_no</t>
        </is>
      </c>
      <c r="C4" s="1" t="inlineStr">
        <is>
          <t>question_type</t>
        </is>
      </c>
      <c r="D4" s="1" t="inlineStr">
        <is>
          <t>question_content</t>
        </is>
      </c>
      <c r="E4" s="1" t="inlineStr">
        <is>
          <t>answer_type</t>
        </is>
      </c>
      <c r="F4" s="1" t="inlineStr">
        <is>
          <t>student_answer</t>
        </is>
      </c>
      <c r="G4" s="1" t="inlineStr">
        <is>
          <t>human_score</t>
        </is>
      </c>
      <c r="H4" s="1" t="inlineStr">
        <is>
          <t>ai_score</t>
        </is>
      </c>
      <c r="I4" s="1" t="inlineStr">
        <is>
          <t>ai_confidence</t>
        </is>
      </c>
      <c r="J4" s="1" t="inlineStr">
        <is>
          <t>ai_feedback</t>
        </is>
      </c>
    </row>
    <row r="5" ht="22" customHeight="1">
      <c r="A5" s="2" t="inlineStr">
        <is>
          <t>(รหัสตัวอย่าง)</t>
        </is>
      </c>
      <c r="B5" s="2" t="inlineStr">
        <is>
          <t>(ข้อที่)</t>
        </is>
      </c>
      <c r="C5" s="2" t="inlineStr">
        <is>
          <t>(ประเภทโจทย์ (text/img))</t>
        </is>
      </c>
      <c r="D5" s="2" t="inlineStr">
        <is>
          <t>(โจทย์ (ข้อความ / ลิงก์รูปภาพโจทย์))</t>
        </is>
      </c>
      <c r="E5" s="2" t="inlineStr">
        <is>
          <t>(ประเภทคำตอบ (text/img))</t>
        </is>
      </c>
      <c r="F5" s="2" t="inlineStr">
        <is>
          <t>(คำตอบนิสิต (ข้อความ / ลิงก์รูปลายมือ))</t>
        </is>
      </c>
      <c r="G5" s="2" t="inlineStr">
        <is>
          <t>(คะแนนอาจารย์)</t>
        </is>
      </c>
      <c r="H5" s="2" t="inlineStr">
        <is>
          <t>(คะแนน AI)</t>
        </is>
      </c>
      <c r="I5" s="2" t="inlineStr">
        <is>
          <t>(ความมั่นใจ AI)</t>
        </is>
      </c>
      <c r="J5" s="2" t="inlineStr">
        <is>
          <t>(เหตุผล/คำแนะนำของ AI)</t>
        </is>
      </c>
    </row>
    <row r="6">
      <c r="A6" s="3" t="inlineStr">
        <is>
          <t>DS-001</t>
        </is>
      </c>
      <c r="B6" s="3" t="n">
        <v>1</v>
      </c>
      <c r="C6" s="3" t="inlineStr">
        <is>
          <t>text</t>
        </is>
      </c>
      <c r="D6" s="4" t="inlineStr">
        <is>
          <t>จงอธิบายความแตกต่างหลักการทำงานระหว่าง Stack และ Queue พร้อมยกตัวอย่างการใช้งานในชีวิตจริง</t>
        </is>
      </c>
      <c r="E6" s="3" t="inlineStr">
        <is>
          <t>text</t>
        </is>
      </c>
      <c r="F6" s="4" t="inlineStr">
        <is>
          <t>Stack คือ LIFO ข้อมูลเข้าทีหลังออกก่อน เช่น ปุ่ม Undo ส่วน Queue คือ FIFO ข้อมูลเข้าก่อนออกก่อน เช่น คิวซื้อตั๋ว</t>
        </is>
      </c>
      <c r="G6" s="3" t="n">
        <v>5</v>
      </c>
      <c r="H6" s="3" t="n">
        <v>5</v>
      </c>
      <c r="I6" s="3" t="inlineStr">
        <is>
          <t>High</t>
        </is>
      </c>
      <c r="J6" s="4" t="inlineStr">
        <is>
          <t>อธิบายหลักการ LIFO/FIFO และยกตัวอย่างการใช้งานได้อย่างถูกต้อง ชัดเจน</t>
        </is>
      </c>
    </row>
    <row r="7">
      <c r="A7" s="3" t="inlineStr">
        <is>
          <t>DS-002</t>
        </is>
      </c>
      <c r="B7" s="3" t="n">
        <v>1</v>
      </c>
      <c r="C7" s="3" t="inlineStr">
        <is>
          <t>text</t>
        </is>
      </c>
      <c r="D7" s="4" t="inlineStr">
        <is>
          <t>จงอธิบายความแตกต่างหลักการทำงานระหว่าง Stack และ Queue พร้อมยกตัวอย่างการใช้งานในชีวิตจริง</t>
        </is>
      </c>
      <c r="E7" s="3" t="inlineStr">
        <is>
          <t>text</t>
        </is>
      </c>
      <c r="F7" s="4" t="inlineStr">
        <is>
          <t>Stack ทำงานแบบเข้าหลังออกก่อน ส่วน Queue เข้าก่อนออกก่อน เช่น แถวซื้อของ</t>
        </is>
      </c>
      <c r="G7" s="3" t="n">
        <v>4</v>
      </c>
      <c r="H7" s="3" t="n">
        <v>4</v>
      </c>
      <c r="I7" s="3" t="inlineStr">
        <is>
          <t>High</t>
        </is>
      </c>
      <c r="J7" s="4" t="inlineStr">
        <is>
          <t>อธิบายหลักการทำงานถูกต้อง แต่ยกตัวอย่างการใช้งานเพียงฝั่ง Queue ไม่ครบทั้ง 2 ฝั่ง</t>
        </is>
      </c>
    </row>
    <row r="8">
      <c r="A8" s="3" t="inlineStr">
        <is>
          <t>DS-003</t>
        </is>
      </c>
      <c r="B8" s="3" t="n">
        <v>1</v>
      </c>
      <c r="C8" s="3" t="inlineStr">
        <is>
          <t>text</t>
        </is>
      </c>
      <c r="D8" s="4" t="inlineStr">
        <is>
          <t>จงอธิบายความแตกต่างหลักการทำงานระหว่าง Stack และ Queue พร้อมยกตัวอย่างการใช้งานในชีวิตจริง</t>
        </is>
      </c>
      <c r="E8" s="3" t="inlineStr">
        <is>
          <t>img</t>
        </is>
      </c>
      <c r="F8" s="5">
        <f>HYPERLINK("photo/ds003_handwriting.jpg", "🔗 [เปิดรูปลายมือ] ds003_handwriting.jpg")</f>
        <v/>
      </c>
      <c r="G8" s="3" t="n">
        <v>3</v>
      </c>
      <c r="H8" s="3" t="n">
        <v>2</v>
      </c>
      <c r="I8" s="3" t="inlineStr">
        <is>
          <t>Medium</t>
        </is>
      </c>
      <c r="J8" s="4" t="inlineStr">
        <is>
          <t>ลายมือทำให้อ่านยากบางส่วน ตอบเฉพาะเรื่อง LIFO ขาดเรื่อง FIFO และตัวอย่าง</t>
        </is>
      </c>
    </row>
    <row r="9">
      <c r="A9" s="3" t="inlineStr">
        <is>
          <t>DS-004</t>
        </is>
      </c>
      <c r="B9" s="3" t="n">
        <v>2</v>
      </c>
      <c r="C9" s="3" t="inlineStr">
        <is>
          <t>text</t>
        </is>
      </c>
      <c r="D9" s="4" t="inlineStr">
        <is>
          <t>จงอธิบายและเขียนขั้นตอนของฟังก์ชันเรียกตัวเอง (Recursive Function) ในการหาค่า Factorial</t>
        </is>
      </c>
      <c r="E9" s="3" t="inlineStr">
        <is>
          <t>text</t>
        </is>
      </c>
      <c r="F9" s="4" t="inlineStr">
        <is>
          <t>Factorial Base Case คือ if n == 0 return 1, Recursive Case คือ return n * fac(n-1)</t>
        </is>
      </c>
      <c r="G9" s="3" t="n">
        <v>5</v>
      </c>
      <c r="H9" s="3" t="n">
        <v>5</v>
      </c>
      <c r="I9" s="3" t="inlineStr">
        <is>
          <t>High</t>
        </is>
      </c>
      <c r="J9" s="4" t="inlineStr">
        <is>
          <t>ระบุทั้ง Base Case และ Recursive Case ได้ถูกต้องชัดเจน มีโครงสร้างโค้ดสมบูรณ์</t>
        </is>
      </c>
    </row>
    <row r="10">
      <c r="A10" s="3" t="inlineStr">
        <is>
          <t>DS-005</t>
        </is>
      </c>
      <c r="B10" s="3" t="n">
        <v>2</v>
      </c>
      <c r="C10" s="3" t="inlineStr">
        <is>
          <t>text</t>
        </is>
      </c>
      <c r="D10" s="4" t="inlineStr">
        <is>
          <t>จงอธิบายและเขียนขั้นตอนของฟังก์ชันเรียกตัวเอง (Recursive Function) ในการหาค่า Factorial</t>
        </is>
      </c>
      <c r="E10" s="3" t="inlineStr">
        <is>
          <t>img</t>
        </is>
      </c>
      <c r="F10" s="5">
        <f>HYPERLINK("photo/ds005_handwriting.jpg", "🔗 [เปิดรูปลายมือ] ds005_handwriting.jpg")</f>
        <v/>
      </c>
      <c r="G10" s="3" t="n">
        <v>4</v>
      </c>
      <c r="H10" s="3" t="n">
        <v>4</v>
      </c>
      <c r="I10" s="3" t="inlineStr">
        <is>
          <t>High</t>
        </is>
      </c>
      <c r="J10" s="4" t="inlineStr">
        <is>
          <t>เขียนขั้นตอน Recursive และ Base Case ถูกต้อง ลายมืออ่านได้ มีจุดตกหล่นเล็กน้อย</t>
        </is>
      </c>
    </row>
    <row r="11">
      <c r="A11" s="3" t="inlineStr">
        <is>
          <t>DS-006</t>
        </is>
      </c>
      <c r="B11" s="3" t="n">
        <v>2</v>
      </c>
      <c r="C11" s="3" t="inlineStr">
        <is>
          <t>text</t>
        </is>
      </c>
      <c r="D11" s="4" t="inlineStr">
        <is>
          <t>จงอธิบายและเขียนขั้นตอนของฟังก์ชันเรียกตัวเอง (Recursive Function) ในการหาค่า Factorial</t>
        </is>
      </c>
      <c r="E11" s="3" t="inlineStr">
        <is>
          <t>img</t>
        </is>
      </c>
      <c r="F11" s="5">
        <f>HYPERLINK("photo/ds006_handwriting.jpg", "🔗 [เปิดรูปลายมือ] ds006_handwriting.jpg")</f>
        <v/>
      </c>
      <c r="G11" s="3" t="n">
        <v>2</v>
      </c>
      <c r="H11" s="3" t="n">
        <v>3</v>
      </c>
      <c r="I11" s="3" t="inlineStr">
        <is>
          <t>Low</t>
        </is>
      </c>
      <c r="J11" s="4" t="inlineStr">
        <is>
          <t>ภาพถ่ายเอียง ลายมือค่อนข้างหวัด เขียนเฉพาะสูตรคณิตศาสตร์ ขาดการเขียนฟังก์ชัน</t>
        </is>
      </c>
    </row>
    <row r="12">
      <c r="A12" s="3" t="inlineStr">
        <is>
          <t>DS-007</t>
        </is>
      </c>
      <c r="B12" s="3" t="n">
        <v>3</v>
      </c>
      <c r="C12" s="3" t="inlineStr">
        <is>
          <t>text</t>
        </is>
      </c>
      <c r="D12" s="4" t="inlineStr">
        <is>
          <t>จงอธิบายขั้นตอนการทำงานของอัลกอริทึม Binary Search ในการค้นหาข้อมูลใน Array</t>
        </is>
      </c>
      <c r="E12" s="3" t="inlineStr">
        <is>
          <t>text</t>
        </is>
      </c>
      <c r="F12" s="4" t="inlineStr">
        <is>
          <t>Binary Search เปรียบเทียบข้อมูลตรงกลาง ตัดช่วงข้อมูลทีละกึ่ง Time Complexity O(log n)</t>
        </is>
      </c>
      <c r="G12" s="3" t="n">
        <v>5</v>
      </c>
      <c r="H12" s="3" t="n">
        <v>5</v>
      </c>
      <c r="I12" s="3" t="inlineStr">
        <is>
          <t>High</t>
        </is>
      </c>
      <c r="J12" s="4" t="inlineStr">
        <is>
          <t>อธิบายกระบวนการ Divide and Conquer และ Time Complexity ได้ถูกต้องครบถ้วน</t>
        </is>
      </c>
    </row>
    <row r="13">
      <c r="A13" s="3" t="inlineStr">
        <is>
          <t>DS-008</t>
        </is>
      </c>
      <c r="B13" s="3" t="n">
        <v>3</v>
      </c>
      <c r="C13" s="3" t="inlineStr">
        <is>
          <t>text</t>
        </is>
      </c>
      <c r="D13" s="4" t="inlineStr">
        <is>
          <t>จงอธิบายขั้นตอนการทำงานของอัลกอริทึม Binary Search ในการค้นหาข้อมูลใน Array</t>
        </is>
      </c>
      <c r="E13" s="3" t="inlineStr">
        <is>
          <t>img</t>
        </is>
      </c>
      <c r="F13" s="5">
        <f>HYPERLINK("photo/ds008_handwriting.jpg", "🔗 [เปิดรูปลายมือ] ds008_handwriting.jpg")</f>
        <v/>
      </c>
      <c r="G13" s="3" t="n">
        <v>3</v>
      </c>
      <c r="H13" s="3" t="n">
        <v>4</v>
      </c>
      <c r="I13" s="3" t="inlineStr">
        <is>
          <t>Medium</t>
        </is>
      </c>
      <c r="J13" s="4" t="inlineStr">
        <is>
          <t>เขียนขั้นตอนหา mid และเทียบ low/high ถูกต้อง แต่ไม่ระบุเงื่อนไข Array ต้องเรียงลำดับ</t>
        </is>
      </c>
    </row>
    <row r="14">
      <c r="A14" s="3" t="inlineStr">
        <is>
          <t>DS-009</t>
        </is>
      </c>
      <c r="B14" s="3" t="n">
        <v>4</v>
      </c>
      <c r="C14" s="3" t="inlineStr">
        <is>
          <t>text</t>
        </is>
      </c>
      <c r="D14" s="4" t="inlineStr">
        <is>
          <t>จงอธิบายข้อดีและข้อเสียของการใช้ Singly Linked List เปรียบเทียบกับ Array</t>
        </is>
      </c>
      <c r="E14" s="3" t="inlineStr">
        <is>
          <t>text</t>
        </is>
      </c>
      <c r="F14" s="4" t="inlineStr">
        <is>
          <t>Array ขนาดคงที่ เข้าถึง O(1) ส่วน Linked List ขยายขนาดได้อิสระ แทรก/ลบง่าย แต่ท่องช้า O(n)</t>
        </is>
      </c>
      <c r="G14" s="3" t="n">
        <v>5</v>
      </c>
      <c r="H14" s="3" t="n">
        <v>5</v>
      </c>
      <c r="I14" s="3" t="inlineStr">
        <is>
          <t>High</t>
        </is>
      </c>
      <c r="J14" s="4" t="inlineStr">
        <is>
          <t>อธิบายข้อดีข้อเสียด้าน memory allocation และ access time ครบถ้วนชัดเจน</t>
        </is>
      </c>
    </row>
    <row r="15">
      <c r="A15" s="3" t="inlineStr">
        <is>
          <t>DS-010</t>
        </is>
      </c>
      <c r="B15" s="3" t="n">
        <v>4</v>
      </c>
      <c r="C15" s="3" t="inlineStr">
        <is>
          <t>text</t>
        </is>
      </c>
      <c r="D15" s="4" t="inlineStr">
        <is>
          <t>จงอธิบายข้อดีและข้อเสียของการใช้ Singly Linked List เปรียบเทียบกับ Array</t>
        </is>
      </c>
      <c r="E15" s="3" t="inlineStr">
        <is>
          <t>img</t>
        </is>
      </c>
      <c r="F15" s="5">
        <f>HYPERLINK("photo/ds010_handwriting.jpg", "🔗 [เปิดรูปลายมือ] ds010_handwriting.jpg")</f>
        <v/>
      </c>
      <c r="G15" s="3" t="n">
        <v>1</v>
      </c>
      <c r="H15" s="3" t="n">
        <v>1</v>
      </c>
      <c r="I15" s="3" t="inlineStr">
        <is>
          <t>Medium</t>
        </is>
      </c>
      <c r="J15" s="4" t="inlineStr">
        <is>
          <t>ตอบสับสนเรื่อง pointer และบอกว่า Array ขยายขนาดได้ง่าย ซึ่งไม่ถูกต้อง</t>
        </is>
      </c>
    </row>
    <row r="16">
      <c r="A16" s="3" t="inlineStr">
        <is>
          <t>DS-011</t>
        </is>
      </c>
      <c r="B16" s="3" t="n">
        <v>5</v>
      </c>
      <c r="C16" s="3" t="inlineStr">
        <is>
          <t>img</t>
        </is>
      </c>
      <c r="D16" s="4" t="inlineStr">
        <is>
          <t>จากภาพแผนภาพ Circular Queue จงอธิบายวิธีคิดสูตร Modulo นำมาประยุกต์ใช้อย่างไร</t>
        </is>
      </c>
      <c r="E16" s="3" t="inlineStr">
        <is>
          <t>text</t>
        </is>
      </c>
      <c r="F16" s="4" t="inlineStr">
        <is>
          <t>Circular Queue ใช้สูตร (rear + 1) % capacity แก้ปัญหา false overflow ทำให้หมุนเวียนพื้นที่ได้</t>
        </is>
      </c>
      <c r="G16" s="3" t="n">
        <v>5</v>
      </c>
      <c r="H16" s="3" t="n">
        <v>5</v>
      </c>
      <c r="I16" s="3" t="inlineStr">
        <is>
          <t>High</t>
        </is>
      </c>
      <c r="J16" s="4" t="inlineStr">
        <is>
          <t>ระบุสูตร Modulo และการทำงานของ index ได้สมบูรณ์ตรงตามภาพโจทย์</t>
        </is>
      </c>
    </row>
    <row r="17">
      <c r="A17" s="3" t="inlineStr">
        <is>
          <t>DS-012</t>
        </is>
      </c>
      <c r="B17" s="3" t="n">
        <v>5</v>
      </c>
      <c r="C17" s="3" t="inlineStr">
        <is>
          <t>img</t>
        </is>
      </c>
      <c r="D17" s="4" t="inlineStr">
        <is>
          <t>จากภาพแผนภาพ Circular Queue จงอธิบายวิธีคิดสูตร Modulo นำมาประยุกต์ใช้อย่างไร</t>
        </is>
      </c>
      <c r="E17" s="3" t="inlineStr">
        <is>
          <t>img</t>
        </is>
      </c>
      <c r="F17" s="5">
        <f>HYPERLINK("photo/ds012_handwriting.jpg", "🔗 [เปิดรูปลายมือ] ds012_handwriting.jpg")</f>
        <v/>
      </c>
      <c r="G17" s="3" t="n">
        <v>4</v>
      </c>
      <c r="H17" s="3" t="n">
        <v>3</v>
      </c>
      <c r="I17" s="3" t="inlineStr">
        <is>
          <t>Medium</t>
        </is>
      </c>
      <c r="J17" s="4" t="inlineStr">
        <is>
          <t>วาดรูปวงกลมและตำแหน่ง front/rear ถูกต้อง แต่ลืมอธิบายว่าแก้ปัญหาเรื่องอะไร</t>
        </is>
      </c>
    </row>
    <row r="18">
      <c r="A18" s="3" t="inlineStr">
        <is>
          <t>DS-013</t>
        </is>
      </c>
      <c r="B18" s="3" t="n">
        <v>6</v>
      </c>
      <c r="C18" s="3" t="inlineStr">
        <is>
          <t>img</t>
        </is>
      </c>
      <c r="D18" s="4" t="inlineStr">
        <is>
          <t>จากภาพแผนภาพ Binary Search Tree (BST) จงแสดงขั้นตอนการแทรกข้อมูลค่า 25</t>
        </is>
      </c>
      <c r="E18" s="3" t="inlineStr">
        <is>
          <t>text</t>
        </is>
      </c>
      <c r="F18" s="4" t="inlineStr">
        <is>
          <t>BST คือ Node ซ้ายค่าน้อยกว่า Root และ Node ขวาค่ามากกว่า Root แทรก 25 ไปทางขวาของ 20</t>
        </is>
      </c>
      <c r="G18" s="3" t="n">
        <v>5</v>
      </c>
      <c r="H18" s="3" t="n">
        <v>5</v>
      </c>
      <c r="I18" s="3" t="inlineStr">
        <is>
          <t>High</t>
        </is>
      </c>
      <c r="J18" s="4" t="inlineStr">
        <is>
          <t>ระบุคุณสมบัติ BST ได้ถูกต้องสมบูรณ์ และระบุตำแหน่งแทรก 25 ได้แม่นยำ</t>
        </is>
      </c>
    </row>
    <row r="19">
      <c r="A19" s="3" t="inlineStr">
        <is>
          <t>DS-014</t>
        </is>
      </c>
      <c r="B19" s="3" t="n">
        <v>6</v>
      </c>
      <c r="C19" s="3" t="inlineStr">
        <is>
          <t>img</t>
        </is>
      </c>
      <c r="D19" s="4" t="inlineStr">
        <is>
          <t>จากภาพแผนภาพ Binary Search Tree (BST) จงแสดงขั้นตอนการแทรกข้อมูลค่า 25</t>
        </is>
      </c>
      <c r="E19" s="3" t="inlineStr">
        <is>
          <t>img</t>
        </is>
      </c>
      <c r="F19" s="5">
        <f>HYPERLINK("photo/ds014_handwriting.jpg", "🔗 [เปิดรูปลายมือ] ds014_handwriting.jpg")</f>
        <v/>
      </c>
      <c r="G19" s="3" t="n">
        <v>2</v>
      </c>
      <c r="H19" s="3" t="n">
        <v>2</v>
      </c>
      <c r="I19" s="3" t="inlineStr">
        <is>
          <t>High</t>
        </is>
      </c>
      <c r="J19" s="4" t="inlineStr">
        <is>
          <t>วาดทิศผิดเงื่อนไข Node ขวาค่าน้อยกว่า Node ซ้าย</t>
        </is>
      </c>
    </row>
    <row r="20">
      <c r="A20" s="3" t="inlineStr">
        <is>
          <t>DS-015</t>
        </is>
      </c>
      <c r="B20" s="3" t="n">
        <v>7</v>
      </c>
      <c r="C20" s="3" t="inlineStr">
        <is>
          <t>img</t>
        </is>
      </c>
      <c r="D20" s="4" t="inlineStr">
        <is>
          <t>จากภาพโครงสร้างต้นไม้ จงระบุ Balance Factor และแสดงขั้นตอนการหมุน (AVL Tree)</t>
        </is>
      </c>
      <c r="E20" s="3" t="inlineStr">
        <is>
          <t>text</t>
        </is>
      </c>
      <c r="F20" s="4" t="inlineStr">
        <is>
          <t>Balance Factor = Height(Left) - Height(Right) มีค่าใน {-1, 0, 1} ต้องทำ Right Rotation ที่ Node 30</t>
        </is>
      </c>
      <c r="G20" s="3" t="n">
        <v>5</v>
      </c>
      <c r="H20" s="3" t="n">
        <v>5</v>
      </c>
      <c r="I20" s="3" t="inlineStr">
        <is>
          <t>High</t>
        </is>
      </c>
      <c r="J20" s="4" t="inlineStr">
        <is>
          <t>ระบุสูตร Balance Factor และรูปแบบการหมุนครบ 4 กรณี พร้อมแสดงการหมุนในโจทย์ถูกต้อง</t>
        </is>
      </c>
    </row>
    <row r="21">
      <c r="A21" s="3" t="inlineStr">
        <is>
          <t>DS-016</t>
        </is>
      </c>
      <c r="B21" s="3" t="n">
        <v>7</v>
      </c>
      <c r="C21" s="3" t="inlineStr">
        <is>
          <t>img</t>
        </is>
      </c>
      <c r="D21" s="4" t="inlineStr">
        <is>
          <t>จากภาพโครงสร้างต้นไม้ จงระบุ Balance Factor และแสดงขั้นตอนการหมุน (AVL Tree)</t>
        </is>
      </c>
      <c r="E21" s="3" t="inlineStr">
        <is>
          <t>img</t>
        </is>
      </c>
      <c r="F21" s="5">
        <f>HYPERLINK("photo/ds016_handwriting.jpg", "🔗 [เปิดรูปลายมือ] ds016_handwriting.jpg")</f>
        <v/>
      </c>
      <c r="G21" s="3" t="n">
        <v>4</v>
      </c>
      <c r="H21" s="3" t="n">
        <v>3</v>
      </c>
      <c r="I21" s="3" t="inlineStr">
        <is>
          <t>Medium</t>
        </is>
      </c>
      <c r="J21" s="4" t="inlineStr">
        <is>
          <t>วาดรูปหมุน Double Rotation สับสนเล็กน้อยระหว่าง LR และ RL แต่ผลลัพธ์สุดท้ายถูกต้อง</t>
        </is>
      </c>
    </row>
    <row r="22">
      <c r="A22" s="3" t="inlineStr">
        <is>
          <t>DS-017</t>
        </is>
      </c>
      <c r="B22" s="3" t="n">
        <v>8</v>
      </c>
      <c r="C22" s="3" t="inlineStr">
        <is>
          <t>img</t>
        </is>
      </c>
      <c r="D22" s="4" t="inlineStr">
        <is>
          <t>จากภาพ Complete Binary Tree จงอธิบายการตรวจสอบสมบัติ Min-Heap</t>
        </is>
      </c>
      <c r="E22" s="3" t="inlineStr">
        <is>
          <t>text</t>
        </is>
      </c>
      <c r="F22" s="4" t="inlineStr">
        <is>
          <t>Min-Heap โหนดแม่น้อยกว่า Max-Heap โหนดแม่มากกว่าลูกเสมอ แปลงเป็น Array index i มีลูก 2i+1, 2i+2</t>
        </is>
      </c>
      <c r="G22" s="3" t="n">
        <v>5</v>
      </c>
      <c r="H22" s="3" t="n">
        <v>5</v>
      </c>
      <c r="I22" s="3" t="inlineStr">
        <is>
          <t>High</t>
        </is>
      </c>
      <c r="J22" s="4" t="inlineStr">
        <is>
          <t>ให้คำจำกัดความ Heap Property ได้ถูกต้องและกระชับ พร้อมระบุตำแหน่งสูตรของ Array</t>
        </is>
      </c>
    </row>
    <row r="23">
      <c r="A23" s="3" t="inlineStr">
        <is>
          <t>DS-018</t>
        </is>
      </c>
      <c r="B23" s="3" t="n">
        <v>8</v>
      </c>
      <c r="C23" s="3" t="inlineStr">
        <is>
          <t>img</t>
        </is>
      </c>
      <c r="D23" s="4" t="inlineStr">
        <is>
          <t>จากภาพ Complete Binary Tree จงอธิบายการตรวจสอบสมบัติ Min-Heap</t>
        </is>
      </c>
      <c r="E23" s="3" t="inlineStr">
        <is>
          <t>img</t>
        </is>
      </c>
      <c r="F23" s="5">
        <f>HYPERLINK("photo/ds018_handwriting.jpg", "🔗 [เปิดรูปลายมือ] ds018_handwriting.jpg")</f>
        <v/>
      </c>
      <c r="G23" s="3" t="n">
        <v>5</v>
      </c>
      <c r="H23" s="3" t="n">
        <v>5</v>
      </c>
      <c r="I23" s="3" t="inlineStr">
        <is>
          <t>High</t>
        </is>
      </c>
      <c r="J23" s="4" t="inlineStr">
        <is>
          <t>วาดรูปผัง min-heap และคำนวณ Array representation ได้ตรงตามโจทย์ทุกจุด ลายมืออ่านง่าย</t>
        </is>
      </c>
    </row>
    <row r="24">
      <c r="A24" s="3" t="inlineStr">
        <is>
          <t>DS-019</t>
        </is>
      </c>
      <c r="B24" s="3" t="n">
        <v>9</v>
      </c>
      <c r="C24" s="3" t="inlineStr">
        <is>
          <t>img</t>
        </is>
      </c>
      <c r="D24" s="4" t="inlineStr">
        <is>
          <t>จากภาพแผนภาพกราฟ (Graph Diagram) จงแสดงลำดับการท่องแบบ BFS และ DFS</t>
        </is>
      </c>
      <c r="E24" s="3" t="inlineStr">
        <is>
          <t>text</t>
        </is>
      </c>
      <c r="F24" s="4" t="inlineStr">
        <is>
          <t>BFS ใช้ Queue ท่องแบบแนวกว้าง DFS ใช้ Stack/Recursion ท่องแบบแนวลึก ลำดับ A-B-C-D...</t>
        </is>
      </c>
      <c r="G24" s="3" t="n">
        <v>5</v>
      </c>
      <c r="H24" s="3" t="n">
        <v>5</v>
      </c>
      <c r="I24" s="3" t="inlineStr">
        <is>
          <t>High</t>
        </is>
      </c>
      <c r="J24" s="4" t="inlineStr">
        <is>
          <t>จำแนกโครงสร้างข้อมูลที่ใช้และความกระชับ เหมาะสำหรับการท่องได้ถูกต้อง</t>
        </is>
      </c>
    </row>
    <row r="25">
      <c r="A25" s="3" t="inlineStr">
        <is>
          <t>DS-020</t>
        </is>
      </c>
      <c r="B25" s="3" t="n">
        <v>9</v>
      </c>
      <c r="C25" s="3" t="inlineStr">
        <is>
          <t>img</t>
        </is>
      </c>
      <c r="D25" s="4" t="inlineStr">
        <is>
          <t>จากภาพแผนภาพกราฟ (Graph Diagram) จงแสดงลำดับการท่องแบบ BFS และ DFS</t>
        </is>
      </c>
      <c r="E25" s="3" t="inlineStr">
        <is>
          <t>img</t>
        </is>
      </c>
      <c r="F25" s="5">
        <f>HYPERLINK("photo/ds020_handwriting.jpg", "🔗 [เปิดรูปลายมือ] ds020_handwriting.jpg")</f>
        <v/>
      </c>
      <c r="G25" s="3" t="n">
        <v>3</v>
      </c>
      <c r="H25" s="3" t="n">
        <v>2</v>
      </c>
      <c r="I25" s="3" t="inlineStr">
        <is>
          <t>Low</t>
        </is>
      </c>
      <c r="J25" s="4" t="inlineStr">
        <is>
          <t>รูปภาพมืด มีเงาบังหัวหนังสือ AI อ่าน step partition ไม่ชัด แต่นิสิตเขียนลำดับถูก 70%</t>
        </is>
      </c>
    </row>
    <row r="26">
      <c r="A26" s="3" t="inlineStr">
        <is>
          <t>DS-021</t>
        </is>
      </c>
      <c r="B26" s="3" t="n">
        <v>10</v>
      </c>
      <c r="C26" s="3" t="inlineStr">
        <is>
          <t>text</t>
        </is>
      </c>
      <c r="D26" s="4" t="inlineStr">
        <is>
          <t>เมื่อเกิดปัญหา Hash Collision จงอธิบายวิธีแก้ไขด้วยเทคนิค Separate Chaining</t>
        </is>
      </c>
      <c r="E26" s="3" t="inlineStr">
        <is>
          <t>text</t>
        </is>
      </c>
      <c r="F26" s="4" t="inlineStr">
        <is>
          <t>Chaining ใช้ Linked List ต่อท้าย bucket เมื่อเกิดข้อมูลที่ hash ได้ตำแหน่งเดียวกัน ข้อดี ไม่จำกัดจำนวน</t>
        </is>
      </c>
      <c r="G26" s="3" t="n">
        <v>5</v>
      </c>
      <c r="H26" s="3" t="n">
        <v>5</v>
      </c>
      <c r="I26" s="3" t="inlineStr">
        <is>
          <t>High</t>
        </is>
      </c>
      <c r="J26" s="4" t="inlineStr">
        <is>
          <t>อธิบายวิธีแก้ Collision ด้วย Separate Chaining ด้าน List ชัดเจนและถูกต้องตามหลักการ</t>
        </is>
      </c>
    </row>
    <row r="27">
      <c r="A27" s="3" t="inlineStr">
        <is>
          <t>DS-022</t>
        </is>
      </c>
      <c r="B27" s="3" t="n">
        <v>10</v>
      </c>
      <c r="C27" s="3" t="inlineStr">
        <is>
          <t>text</t>
        </is>
      </c>
      <c r="D27" s="4" t="inlineStr">
        <is>
          <t>เมื่อเกิดปัญหา Hash Collision จงอธิบายวิธีแก้ไขด้วยเทคนิค Separate Chaining</t>
        </is>
      </c>
      <c r="E27" s="3" t="inlineStr">
        <is>
          <t>img</t>
        </is>
      </c>
      <c r="F27" s="5">
        <f>HYPERLINK("photo/ds022_handwriting.jpg", "🔗 [เปิดรูปลายมือ] ds022_handwriting.jpg")</f>
        <v/>
      </c>
      <c r="G27" s="3" t="n">
        <v>4</v>
      </c>
      <c r="H27" s="3" t="n">
        <v>4</v>
      </c>
      <c r="I27" s="3" t="inlineStr">
        <is>
          <t>High</t>
        </is>
      </c>
      <c r="J27" s="4" t="inlineStr">
        <is>
          <t>วาดตาราง Hash Table และผูกผัง pointer ต่อ Linked List ได้ถูกต้องเรียบร้อย</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0" customWidth="1" min="1" max="1"/>
    <col width="30" customWidth="1" min="2" max="2"/>
    <col width="14" customWidth="1" min="3" max="3"/>
    <col width="30" customWidth="1" min="4" max="4"/>
    <col width="14" customWidth="1" min="5" max="5"/>
    <col width="85" customWidth="1" min="6" max="6"/>
  </cols>
  <sheetData>
    <row r="1">
      <c r="A1" s="10" t="inlineStr">
        <is>
          <t>เกณฑ์การให้คะแนนสำหรับการตรวจข้อสอบอัตโนมัติด้วย AI (Exam Rubrics)</t>
        </is>
      </c>
    </row>
    <row r="2">
      <c r="A2" s="11" t="inlineStr">
        <is>
          <t>วิชาโครงสร้างข้อมูลและขั้นตอนวิธี (Data Structures and Algorithms) | ฉบับปรับปรุงตามพฤติกรรมการตรวจจริง</t>
        </is>
      </c>
    </row>
    <row r="4">
      <c r="A4" s="12" t="inlineStr">
        <is>
          <t>ข้อที่</t>
        </is>
      </c>
      <c r="B4" s="12" t="inlineStr">
        <is>
          <t>หัวข้อโจทย์</t>
        </is>
      </c>
      <c r="C4" s="12" t="inlineStr">
        <is>
          <t>คะแนนเต็ม</t>
        </is>
      </c>
      <c r="D4" s="12" t="inlineStr">
        <is>
          <t>ชื่อเกณฑ์ประเมิน</t>
        </is>
      </c>
      <c r="E4" s="12" t="inlineStr">
        <is>
          <t>คะแนนเกณฑ์</t>
        </is>
      </c>
      <c r="F4" s="12" t="inlineStr">
        <is>
          <t>คำอธิบายเกณฑ์และระดับขั้นคะแนน</t>
        </is>
      </c>
    </row>
    <row r="5">
      <c r="A5" s="13" t="n">
        <v>1</v>
      </c>
      <c r="B5" s="14" t="inlineStr">
        <is>
          <t>Row-major vs Column-major</t>
        </is>
      </c>
      <c r="C5" s="13" t="n">
        <v>2</v>
      </c>
      <c r="D5" s="14" t="inlineStr">
        <is>
          <t>Row-major</t>
        </is>
      </c>
      <c r="E5" s="13" t="n">
        <v>1</v>
      </c>
      <c r="F5" s="15" t="inlineStr">
        <is>
          <t>อธิบายการจัดเก็บข้อมูลหรือเข้าถึงข้อมูลตามแถว (Row / แนวนอน) ได้ถูกต้อง ได้ 1.00 คะแนน (ตอบผิดหรือไม่ตอบได้ 0.00 คะแนน)</t>
        </is>
      </c>
    </row>
    <row r="6">
      <c r="A6" s="16" t="n">
        <v>1</v>
      </c>
      <c r="B6" s="17" t="inlineStr">
        <is>
          <t>Row-major vs Column-major</t>
        </is>
      </c>
      <c r="C6" s="16" t="n">
        <v>2</v>
      </c>
      <c r="D6" s="17" t="inlineStr">
        <is>
          <t>Column-major</t>
        </is>
      </c>
      <c r="E6" s="16" t="n">
        <v>1</v>
      </c>
      <c r="F6" s="18" t="inlineStr">
        <is>
          <t>อธิบายการจัดเก็บข้อมูลหรือเข้าถึงข้อมูลตามคอลัมน์ (Column / แนวตั้ง) ได้ถูกต้อง ได้ 1.00 คะแนน (ตอบผิดหรือไม่ตอบได้ 0.00 คะแนน)
(เกณฑ์ภาพรวม: อธิบายถูกทั้ง 2 ฝั่งได้ 2.00 คะแนน, อธิบายถูกฝั่งเดียวหรือระบุความเข้าใจเบื้องต้นได้ 1.00 คะแนน, ตอบผิดทั้งหมดหรือไม่ตอบได้ 0.00 คะแนน)</t>
        </is>
      </c>
    </row>
    <row r="7">
      <c r="A7" s="13" t="n">
        <v>2</v>
      </c>
      <c r="B7" s="14" t="inlineStr">
        <is>
          <t>O(n log n) vs O(n^2) Complexity</t>
        </is>
      </c>
      <c r="C7" s="13" t="n">
        <v>2</v>
      </c>
      <c r="D7" s="14" t="inlineStr">
        <is>
          <t>ความซับซ้อน O(n log n) vs O(n^2) และตัวอย่างอัลกอริทึม</t>
        </is>
      </c>
      <c r="E7" s="13" t="n">
        <v>2</v>
      </c>
      <c r="F7" s="15" t="inlineStr">
        <is>
          <t>โจทย์: อธิบายว่าทำไม O(n log n) เหมาะกับข้อมูลใหญ่กว่า O(n^2) และยกตัวอย่าง Algorithm (คะแนนเต็ม 2.00 คะแนน)
เกณฑ์การประเมินตามแนวนโยบายการตรวจของผู้สอน (Pedagogical Policy) สำหรับข้อสอบอัตนัยระดับปริญญาตรี (ระดับคะแนน: 2.0, 1.5, 1.0, หรือ 0.0):
• 2.00 คะแนน (คะแนนเต็ม - สมบูรณ์เชิงมโนทัศน์):
  1. มีการระบุชื่อ Algorithm ที่สอดคล้องอย่างถูกต้อง (เช่น Merge Sort, Quick Sort, หรือเทียบกับ Bubble/Insertion/Selection Sort ฝั่ง O(n^2))
  2. มีคำอธิบายเปรียบเทียบว่า O(n log n) เร็วกว่า / มีขั้นตอนการทำงานน้อยกว่า / อัตราการเติบโตช้ากว่า O(n^2) เมื่อข้อมูลมีขนาดใหญ่
  *แนวนโยบายการตรวจของผู้สอน: อาจารย์เน้นประเมินความเข้าใจเชิงมโนทัศน์ (Conceptual Understanding) เป็นหลัก ยอมรับการอธิบายด้วยภาษาธรรมชาติของผู้เรียน ให้อนุโลมคะแนนเต็มได้แม้ผู้เรียนจะมีการอธิบายบริบทการทำงานเสริมเรื่องหน่วยความจำ ระบบประมวลผล หรือความสัมพันธ์เชิงโครงสร้าง ขอเพียงมีชื่ออัลกอริทึมและใจความหลักเรื่องประสิทธิภาพความเร็วครบถ้วน*
  *หรือ อธิบายกลไก Divide &amp; Conquer (การแบ่งย่อยปัญหาทำงานทีละส่วนทำให้ประมวลผลเร็วกว่าลูปซ้ำซ้อน) ได้อย่างชัดเจนและสมบูรณ์*
• 1.50 คะแนน (ระดับดี - มีสาระสำคัญและตัวอย่างชัดเจน):
  - มีการเขียนโค้ดตัวอย่างประกอบ (เช่น โค้ด recursive function หรือการเปรียบเทียบลูป) เพื่อแสดงความพยายามอธิบายกลไกการทำงานเชิงปฏิบัติ
  - มีคำอธิบายเชิงกลไกเรื่องการทำงานไม่ซ้ำซ้อน vs ลูปซ้อนลูป (Nested loops) อย่างชัดเจน แม้ไม่ได้ระบุชื่อ Algorithm เฉพาะเจาะจง
  - มีชื่อ Algorithm แต่คำอธิบายสั้นกระชับมาก หรือมีจุดคลาดเคลื่อนทางเทคนิคเล็กน้อย
• 1.00 คะแนน (ระดับพื้นฐาน - ตอบถูกเพียงด้านใดด้านหนึ่ง):
  - ตอบเฉพาะเหตุผลว่าเร็วกว่า/ดีกว่า หรือแสดงการคำนวณตัวเลข/ตารางเปรียบเทียบ แต่ไม่มีชื่อ Algorithm ประกอบ
  - มีชื่อ Algorithm แต่เขียนเพียงทวนคำถามซ้ำว่ามีประสิทธิภาพดีกว่าโดยไม่อธิบายเหตุผลรองรับ
  - ตอบสั้นมาก แต่พอมีสาระสำคัญที่ถูกทางบางส่วน (เช่น ตอบเรื่องการลดลูปซ้ำซ้อน)
• 0.00 คะแนน (ไม่ผ่านเกณฑ์):
  - ไม่ตอบ หรือตอบผิดหลักการทั้งหมดอย่างสิ้นเชิง ไม่มีความเกี่ยวข้องกับเนื้อหาข้อสอบ</t>
        </is>
      </c>
    </row>
    <row r="8">
      <c r="A8" s="16" t="n">
        <v>3</v>
      </c>
      <c r="B8" s="17" t="inlineStr">
        <is>
          <t>Linked List vs Array (Stack &amp; Queue)</t>
        </is>
      </c>
      <c r="C8" s="16" t="n">
        <v>1</v>
      </c>
      <c r="D8" s="17" t="inlineStr">
        <is>
          <t>ความแตกต่างเชิงโครงสร้างและกลไก (Linked List/Stack/Queue vs Array)</t>
        </is>
      </c>
      <c r="E8" s="16" t="n">
        <v>0.5</v>
      </c>
      <c r="F8" s="18" t="inlineStr">
        <is>
          <t>ประเมินการอธิบายความแตกต่าง (ให้คะแนน 0.50, 0.25, หรือ 0.00 คะแนน):
• 0.50 คะแนน: อธิบายความแตกต่างได้อย่างถูกต้องในมิติใดมิติหนึ่งต่อไปนี้:
   (ก) ด้านขนาด/โครงสร้าง: Array มีขนาดคงที่ (Fixed/Static size) ต้องกำหนดขนาดล่วงหน้า จองพื้นที่ต่อเนื่อง ส่วน Linked List มีขนาดแบบพลวัต (Dynamic size / ยืดหยุ่น / ปรับขนาดตามการใช้งานจริง)
   (ข) ด้านกลไก Stack/Queue: อธิบายลักษณะการทำงานของ Stack (LIFO / เข้าหลังออกก่อน / Top) หรือ Queue (FIFO / เข้าก่อนออกก่อน / Front-Rear) หรือการเพิ่มลบโหนดผ่าน pointer เปรียบเทียบกับการลบหรือการเข้าถึงของ Array
   *แนวนโยบายการตรวจของผู้สอน: หากผู้เรียนอธิบายกลไก Stack (LIFO) หรือ Queue (FIFO) ร่วมกับ Array ได้ถูกต้อง ถือว่าตรงตามบริบทโจทย์ ให้ 0.50 คะแนนเต็มในส่วนนี้ ห้ามตัดเป็น 0.00*
• 0.25 คะแนน: ตอบอธิบายความต่างได้เพียงบางส่วน สั้นมาก หรือกำกวม
• 0.00 คะแนน: ไม่ได้ตอบความแตกต่าง, หรือเป็นคำพูดลอยๆ ทั่วไปที่ไม่เกี่ยวกับโครงสร้างข้อมูล, หรืออธิบายกลไกผิดหลักการทั้งหมดอย่างสิ้นเชิง</t>
        </is>
      </c>
    </row>
    <row r="9">
      <c r="A9" s="13" t="n">
        <v>3</v>
      </c>
      <c r="B9" s="14" t="inlineStr">
        <is>
          <t>Linked List vs Array (Stack &amp; Queue)</t>
        </is>
      </c>
      <c r="C9" s="13" t="n">
        <v>1</v>
      </c>
      <c r="D9" s="14" t="inlineStr">
        <is>
          <t>การระบุข้อดีและข้อเสีย (Pros &amp; Cons)</t>
        </is>
      </c>
      <c r="E9" s="13" t="n">
        <v>0.5</v>
      </c>
      <c r="F9" s="15" t="inlineStr">
        <is>
          <t>ประเมินการระบุข้อดีและข้อเสีย (ให้คะแนน 0.50, 0.25, หรือ 0.00 คะแนน):
• 0.50 คะแนน: มีการระบุทั้ง 'ข้อดี' และ 'ข้อเสีย' อย่างสมเหตุสมผลและชัดเจนทั้งสองด้าน ทั้งกรณีเปรียบเทียบ Linked List กับ Array (เช่น ยืดหยุ่น/ไม่จำกัดขนาด vs เข้าถึงช้า/เปลือง pointer) หรือกรณีเปรียบเทียบรูปแบบการทำงานเฉพาะตัวของ Stack/Queue
• 0.25 คะแนน: ระบุเฉพาะ 'ข้อดี' อย่างเดียว หรือระบุเฉพาะ 'ข้อเสีย' อย่างเดียว
• 0.00 คะแนน: ไม่ได้ระบุข้อดีข้อเสียเลย หรือระบุเพียงข้อความสั้นๆ ปนในเนื้อหาโดยไม่มีข้อเสีย หรือระบุผิดหลักการอย่างสิ้นเชิง</t>
        </is>
      </c>
    </row>
    <row r="10">
      <c r="A10" s="16" t="n">
        <v>4</v>
      </c>
      <c r="B10" s="17" t="inlineStr">
        <is>
          <t>Binary Search Tree Construction</t>
        </is>
      </c>
      <c r="C10" s="16" t="n">
        <v>1</v>
      </c>
      <c r="D10" s="17" t="inlineStr">
        <is>
          <t>ความถูกต้องของโครงสร้างต้นไม้ค้นหาทวิภาค (Binary Search Tree)</t>
        </is>
      </c>
      <c r="E10" s="16" t="n">
        <v>1</v>
      </c>
      <c r="F10" s="18" t="inlineStr">
        <is>
          <t>ประเมินภาพวาด Binary Search Tree จากข้อมูล: 9, 16, 10, 76, 5, 13, 58, 92, 11, 15, 80, 99 (คะแนนเต็ม 1.00 คะแนน, เลือกระดับคะแนน 1.00 หรือ 0.00):
• 1.00 คะแนน: โครงสร้างความสัมพันธ์ถูกต้องครบทั้ง 12 โหนดตามหลักการ BST (Parent-Child Topology):
  - Root คือ 9 (ซ้าย 5, ขวา 16)
  - ใต้ 16: ซ้ายคือ 10, ขวาคือ 76
  - ใต้ 10: ขวาคือ 13 (ซ้ายว่าง)
  - ใต้ 13: ซ้ายคือ 11, ขวาคือ 15
  - ใต้ 76: ซ้ายคือ 58 (เป็น Leaf Node), ขวาคือ 92
  - ใต้ 92: ซ้ายคือ 80, ขวาคือ 99
  (กฎการอนุโลมสำคัญ: ในข้อสอบนี้ โหนด 13 ทางขวาของ 10 และโหนด 58 ทางซ้ายของ 76 จะเข้ามาเบียดกันตรงกลางกระดาษ   ทำให้นักเรียนส่วนใหญ่วาดเบียดกัน เส้นเชื่อมของ 15 อาจวาดดิ่งลงมาหรือเบี่ยงหลบ 58 ให้ยึดเจตนาการเชื่อมต่อเป็นสำคัญ   และให้อนุโลมความสวยงาม ลายมือ รอยร่าง หรือวงกลมเปล่าส่วนเกิน ขอเพียงโหนดทั้ง 12 ตัวและเส้นเชื่อมหลักถูกต้อง)
• 0.00 คะแนน: ผิดหลักการ BST อย่างแท้จริง เช่น โหนด Root ผิด (ไม่ใช่ 9), วางโหนดผิดตำแหน่ง,   สลับกิ่งซ้าย-ขวา, ลากเส้นเชื่อมผิดสายลำดับ (เช่น นำ 13 หรือ 15 ไปต่อใต้ 58), หรือไม่วาดคำตอบ</t>
        </is>
      </c>
    </row>
    <row r="11">
      <c r="A11" s="13" t="n">
        <v>5</v>
      </c>
      <c r="B11" s="14" t="inlineStr">
        <is>
          <t>Infix to Prefix &amp; Postfix Expression</t>
        </is>
      </c>
      <c r="C11" s="13" t="n">
        <v>1</v>
      </c>
      <c r="D11" s="14" t="inlineStr">
        <is>
          <t>การแปลง Infix Expression เป็น Prefix และ Postfix Expression</t>
        </is>
      </c>
      <c r="E11" s="13" t="n">
        <v>1</v>
      </c>
      <c r="F11" s="15" t="inlineStr">
        <is>
          <t>โจทย์ให้แสดงวิธีการแปลง Infix Expression: A + (B * (C - (D / (F * 2)))) เป็น Prefix และ Postfix ด้วยมือ (คะแนนเต็ม 1.00 คะแนน)
ประเมินแยก 2 ส่วนตามภาพเฉลยแม่แบบอย่างเคร่งครัด:
ส่วนที่ 1: การหา Prefix Expression (คะแนนเต็ม 0.50 คะแนน)
• ได้ 0.50 คะแนน: แสดงขั้นตอนถูกต้องและได้คำตอบสุดท้ายคือ + A * B - C / D * F 2 (หรือเขียนติดกัน +A*B-C/D*F2)
  (ข้อแนะนำลายมือ: สัญลักษณ์คูณ '*' อาจเขียนเป็นดอกจัน กากบาท หรือจุด ในตำแหน่งเชื่อม B เช่น '+ A * B - C / D * F 2' ให้อ่านเป็น '*' ตามบริบทคณิตศาสตร์, หากมีข้อความขีดฆ่าให้ตัดทิ้งและพิจารณาคำตอบที่ไม่ถูกขีดฆ่า)
• ได้ 0.00 คะแนน: คำตอบผิดหลักการทั้งหมด ไม่แสดงวิธีทำ หรือไม่ได้ทำ
ส่วนที่ 2: การหา Postfix Expression (คะแนนเต็ม 0.50 คะแนน)
• ได้ 0.50 คะแนน: แสดงขั้นตอนถูกต้องและได้คำตอบสุดท้ายคือ A B C D F 2 * / - * + (หรือเขียนติดกัน ABCDF2*/-*+)
• ได้ 0.00 คะแนน: คำตอบผิดหลักการทั้งหมด ไม่แสดงวิธีทำ หรือไม่ได้ทำ
(คะแนนรวมคือผลบวกของส่วนที่ 1 และ 2: 1.00, 0.50 หรือ 0.00 คะแนน)</t>
        </is>
      </c>
    </row>
    <row r="12">
      <c r="A12" s="16" t="n">
        <v>6</v>
      </c>
      <c r="B12" s="17" t="inlineStr">
        <is>
          <t>General Tree to Binary Tree</t>
        </is>
      </c>
      <c r="C12" s="16" t="n">
        <v>1</v>
      </c>
      <c r="D12" s="17" t="inlineStr">
        <is>
          <t>ความถูกต้องของการแปลง General Tree เป็น Binary Tree (Left-Child Right-Sibling)</t>
        </is>
      </c>
      <c r="E12" s="16" t="n">
        <v>1</v>
      </c>
      <c r="F12" s="18" t="inlineStr">
        <is>
          <t>ประเมินตามโครงสร้างและความถูกต้องของการแปลง General Tree เป็น Binary Tree ตามหลักการ Left-Child Right-Sibling (LCRS) จากโจทย์ 10 โหนด (1 ถึง 10) ดังนี้:
- ได้ 1.00 คะแนน: แปลงโครงสร้าง Binary Tree ได้ถูกต้องสมบูรณ์ครบทั้ง 10 โหนด ตามหลัก LCRS:
  * Root คือ 1 โดยมีกิ่งซ้าย (Left Child) เป็น 2 และกิ่งขวาว่าง (ไม่มี sibling)
  * โหนด 2 มีกิ่งซ้ายเป็น 5 (ลูกคนแรก) และกิ่งขวาเป็น 3 (พี่น้องถัดไป)
  * ใต้กิ่ง 5: มีกิ่งขวาเป็น 6 -&gt; โหนด 6 มีกิ่งขวาเป็น 7 (ทั้ง 5, 6, 7 ไม่มีกิ่งซ้าย)
  * โหนด 3 ไม่มีกิ่งซ้าย และมีกิ่งขวาเป็น 4 (พี่น้องถัดไป)
  * โหนด 4 มีกิ่งซ้ายเป็น 8 (ลูกคนแรก) และไม่มีกิ่งขวา
  * ใต้กิ่ง 8: มีกิ่งขวาเป็น 9 -&gt; โหนด 9 มีกิ่งขวาเป็น 10 (ทั้ง 8, 9, 10 ไม่มีกิ่งซ้าย)
  (ให้อนุโลมความสวยงาม ความยาว หรือมุมเอียงของกิ่งในกระดาษเขียน หากมีเส้นเชื่อมครบ 9 เส้นตามลำดับดังกล่าว แม้มุมของ 4 ไปยัง 8 จะเอียงชันตามเนื้อที่กระดาษ ให้ถือว่าสื่อสารกิ่งซ้ายของ 4 ได้ถูกต้อง และได้ 1.00 คะแนนเต็ม)
- ได้ 0.00 คะแนน: โครงสร้างไม่ถูกต้อง มีข้อผิดพลาดในตำแหน่งกิ่ง ผิดหลักการ Left-Child Right-Sibling (LCRS) หรือไม่วาดคำตอบ:
  * วางโหนด 3 เป็นกิ่งขวาของโหนด 1 โดยตรง (โหนด 1 ไม่มีพี่น้อง ห้ามมีกิ่งขวา โหนด 3 ต้องเป็นกิ่งขวาของ 2)
  * วางโหนด 4 หรือ 3 เป็นกิ่งซ้ายของ 2 หรือนำ 4 ไปต่อกับ 1 โดยตรง
  * วาดเป็นเส้นตรงซิกแซกเรียงเดี่ยว หรือเขียนเฉพาะตัวเลขเรียงกันโดยไม่วาดโครงสร้างต้นไม้
  * ไม่วาดคำตอบ หรือระบุว่าไม่สามารถแปลงได้
  * โครงสร้างแตกกิ่งไม่เป็นไปตามความสัมพันธ์แบบ Left-Child Right-Sibling
(ระดับคะแนนที่ให้ได้คือ 1.00 หรือ 0.00 คะแนนเท่านั้น ห้ามให้คะแนนเป็นเศษทศนิยมอื่น ต้องระบุ teacher_feedback แจกแจงเหตุผลและจุดถูก/ผิดตามเกณฑ์ LCRS สำหรับผู้สอนอย่างละเอียด และระบุ student_feedback เป็นคำแนะนำพัฒนาการเรียนรู้สำหรับนักเรียน)</t>
        </is>
      </c>
    </row>
  </sheetData>
  <mergeCells count="2">
    <mergeCell ref="A2:F2"/>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2026-09-30T08:56:00Z</dcterms:created>
  <dcterms:modified xmlns:dcterms="http://purl.org/dc/terms/" xmlns:xsi="http://www.w3.org/2001/XMLSchema-instance" xsi:type="dcterms:W3CDTF">2026-09-30T16:10:58Z</dcterms:modified>
</cp:coreProperties>
</file>